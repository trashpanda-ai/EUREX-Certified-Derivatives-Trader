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jonas/Documents/Uni/Sonstiges/Eurex/Q-Bank/"/>
    </mc:Choice>
  </mc:AlternateContent>
  <xr:revisionPtr revIDLastSave="0" documentId="13_ncr:1_{9C572200-15C6-BF4A-9117-DD42F4094341}" xr6:coauthVersionLast="47" xr6:coauthVersionMax="47" xr10:uidLastSave="{00000000-0000-0000-0000-000000000000}"/>
  <bookViews>
    <workbookView xWindow="0" yWindow="500" windowWidth="25600" windowHeight="14440" xr2:uid="{465B079A-24C4-7440-BEC0-4FA30077D838}"/>
  </bookViews>
  <sheets>
    <sheet name="Intro" sheetId="5" r:id="rId1"/>
    <sheet name="Study Guide" sheetId="3" r:id="rId2"/>
    <sheet name="Cheat Sheet" sheetId="7" r:id="rId3"/>
    <sheet name="Cheat Sheet II" sheetId="9" r:id="rId4"/>
    <sheet name="Quiz" sheetId="4" r:id="rId5"/>
    <sheet name="Database" sheetId="2" state="hidden" r:id="rId6"/>
  </sheets>
  <definedNames>
    <definedName name="Slicer_Topic">#N/A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2" l="1"/>
  <c r="E15" i="3"/>
  <c r="F15" i="3"/>
  <c r="G15" i="3"/>
  <c r="H15" i="3"/>
  <c r="C196" i="2"/>
  <c r="C243" i="2"/>
  <c r="J15" i="3"/>
  <c r="I15" i="3"/>
  <c r="C4" i="2" l="1"/>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G14" i="3"/>
  <c r="F14" i="3"/>
  <c r="E14" i="3"/>
  <c r="I13" i="3"/>
  <c r="H13" i="3"/>
  <c r="I12" i="3"/>
  <c r="H12" i="3"/>
  <c r="I11" i="3"/>
  <c r="H11" i="3"/>
  <c r="I10" i="3"/>
  <c r="H10" i="3"/>
  <c r="I9" i="3"/>
  <c r="H9" i="3"/>
  <c r="I8" i="3"/>
  <c r="H8" i="3"/>
  <c r="I7" i="3"/>
  <c r="H7" i="3"/>
  <c r="I6" i="3"/>
  <c r="H6" i="3"/>
  <c r="H14" i="3" l="1"/>
  <c r="I14" i="3"/>
  <c r="J11" i="3" s="1"/>
  <c r="J14" i="3"/>
  <c r="J13" i="3"/>
  <c r="J6" i="3"/>
  <c r="J10" i="3"/>
  <c r="J12" i="3"/>
  <c r="J9" i="3" l="1"/>
  <c r="J7" i="3"/>
  <c r="J8" i="3"/>
  <c r="D13" i="4" l="1"/>
  <c r="D5" i="4"/>
  <c r="D12" i="4"/>
  <c r="K14" i="4"/>
  <c r="D11" i="4"/>
  <c r="D7" i="4"/>
  <c r="D15" i="4"/>
  <c r="L13" i="4"/>
  <c r="L11" i="4"/>
  <c r="L12" i="4"/>
  <c r="D10" i="4"/>
  <c r="L10" i="4"/>
  <c r="Q2" i="4" l="1"/>
  <c r="D9" i="5" s="1"/>
  <c r="K3" i="4" s="1"/>
</calcChain>
</file>

<file path=xl/sharedStrings.xml><?xml version="1.0" encoding="utf-8"?>
<sst xmlns="http://schemas.openxmlformats.org/spreadsheetml/2006/main" count="7256" uniqueCount="2441">
  <si>
    <t>#</t>
  </si>
  <si>
    <t>SC/MC/TF</t>
  </si>
  <si>
    <t>Topic</t>
  </si>
  <si>
    <t>Option1</t>
  </si>
  <si>
    <t>Option4</t>
  </si>
  <si>
    <t>Option3</t>
  </si>
  <si>
    <t>Option2</t>
  </si>
  <si>
    <t>Chapter</t>
  </si>
  <si>
    <t>TF</t>
  </si>
  <si>
    <t>Falsch</t>
  </si>
  <si>
    <t>Richtig</t>
  </si>
  <si>
    <t>Was kann (kurzfristig) ein Anstieg der Zinsen in "Euroland" bewirken?</t>
  </si>
  <si>
    <t>MC</t>
  </si>
  <si>
    <t>Kursanstieg des Euro</t>
  </si>
  <si>
    <t xml:space="preserve">Höhere Nachfrage nach Euro
 </t>
  </si>
  <si>
    <t>Kursrückgang des Euro</t>
  </si>
  <si>
    <t>Welche Metalle zählen zu den unedlen Metallen (Base Metals)?</t>
  </si>
  <si>
    <t>Platin</t>
  </si>
  <si>
    <t>Kupfer</t>
  </si>
  <si>
    <t>Nickel</t>
  </si>
  <si>
    <t>Zink</t>
  </si>
  <si>
    <t>Wie wird ein Geschäft genannt, bei dem ein Händler Kredit in einer Währung aufnimmt und das Geld in einer zweiten Währung anlegt?</t>
  </si>
  <si>
    <t>SC</t>
  </si>
  <si>
    <t>Heavy Trade</t>
  </si>
  <si>
    <t>Carry Trade</t>
  </si>
  <si>
    <t>Basis Trade</t>
  </si>
  <si>
    <t>Speculative Trade</t>
  </si>
  <si>
    <t>Welche Aussage bezüglich der Risiken am Geldmarkt ist richtig?</t>
  </si>
  <si>
    <t>Risiken am Geldmarkt sind vernachlässigbar, da es sich nur um kurzfristige Geschäfte handelt.</t>
  </si>
  <si>
    <t>Das Inflationsrisiko ist aufgrund der kurzen Laufzeit der Geldmarktgeschäfte gering bzw. geringer als bei langlaufenden Krediten.</t>
  </si>
  <si>
    <t>Ausfallrisiken am Geldmarkt sind vernachlässigbar, da nur Banken mit erstklassiger Bonität daran beteiligt sind.</t>
  </si>
  <si>
    <t>Risiken am Geldmarkt sind wesentlich höher als in anderen Märkten, da sich viele Risikofaktoren gegenseitig stark beeinflussen.</t>
  </si>
  <si>
    <t>Die Bewertung von Aktien hängt stark von der Sichtweise und Interpretation des Bewerters ab. Eine objektive Bewertung ist in der Praxis praktisch nicht möglich.</t>
  </si>
  <si>
    <t>Bei Ausübung von Optionsscheinen, die von Unternehmen begeben wurden, werden neue Aktien emittiert und somit das Eigenkapital des Unternehmens erhöht.</t>
  </si>
  <si>
    <t>Welche Aussagen gelten für einen Performance-Index?</t>
  </si>
  <si>
    <t>Dividenden haben Auswirkungen auf den Indexstand.</t>
  </si>
  <si>
    <t>Dividenden haben keine Auswirkungen auf den Indexstand.</t>
  </si>
  <si>
    <t>Dividenden werden reinvestiert.</t>
  </si>
  <si>
    <t>Dividenden werden nicht reinvestiert.</t>
  </si>
  <si>
    <t>EUR 20</t>
  </si>
  <si>
    <t>EUR 12</t>
  </si>
  <si>
    <t>EUR 40</t>
  </si>
  <si>
    <t>EUR 200</t>
  </si>
  <si>
    <t>Welcher Aktientyp ist mit einem Stimmrecht ausgestattet?</t>
  </si>
  <si>
    <t>Namensaktie</t>
  </si>
  <si>
    <t>Inhaberaktie</t>
  </si>
  <si>
    <t>Stammaktie</t>
  </si>
  <si>
    <t>Alle genannten Aktientypen</t>
  </si>
  <si>
    <t>Der Dirty Price einer Anleihe entspricht finanzmathematisch dem Barwert des Zahlungsstroms einer Anleihe.</t>
  </si>
  <si>
    <t>Der Nominalwert einer Anleihe ist immer höher als ihr Kurswert.</t>
  </si>
  <si>
    <t>Solution1</t>
  </si>
  <si>
    <t>Solution2</t>
  </si>
  <si>
    <t>Solution3</t>
  </si>
  <si>
    <t>Solution4</t>
  </si>
  <si>
    <t>☐</t>
  </si>
  <si>
    <t>☑</t>
  </si>
  <si>
    <t>Es werden zwei Anleihen mit identischer Laufzeit und identischem Nominalwert miteinander verglichen. Anleihe A hat einen Kupon von 6 Prozent. Anleihe B hat einen Kupon von 8 Prozent. Anleihe A hat den höheren Basispunktwert.</t>
  </si>
  <si>
    <t>Die Macaulay-Duration einer Nullkupon-Anleihe entspricht ihrer Restlaufzeit.</t>
  </si>
  <si>
    <t>Welche Anleihen werden stärker auf Zinsveränderungen reagieren?</t>
  </si>
  <si>
    <t>Welche Aussage zu Stückzinsen ist richtig?</t>
  </si>
  <si>
    <t>Variabel verzinsliche Anleihen werden auch …</t>
  </si>
  <si>
    <t>Anleihen mit kurzer Restlaufzeit</t>
  </si>
  <si>
    <t>Anleihen mit langer Restlaufzeit</t>
  </si>
  <si>
    <t>Anleihen mit hohem Kupon</t>
  </si>
  <si>
    <t>Anleihen mit niedrigem Kupon</t>
  </si>
  <si>
    <t>Der Inhaber einer Anleihe erhält am Kupontermin immer den Zins für eine volle Zinsperiode.</t>
  </si>
  <si>
    <t>Der Käufer muss an den Verkäufer der Anleihe Stückzinsen zahlen.</t>
  </si>
  <si>
    <t>Alle Antworten sind richtig.</t>
  </si>
  <si>
    <t>Bei unterjährigem Kauf hat der Käufer aber nur Anspruch auf Zinsen für den Zeitraum, in dem er die Anleihe besessen hat.</t>
  </si>
  <si>
    <t>Zerobonds genannt.</t>
  </si>
  <si>
    <t xml:space="preserve"> Straight Bonds genannt.</t>
  </si>
  <si>
    <t>Floating Rate Notes genannt.</t>
  </si>
  <si>
    <t>Flexible Bonds genannt.</t>
  </si>
  <si>
    <t>Liegen die kurzfristigen Zinsen oberhalb der langfristigen Zinsen, so spricht man von einer …</t>
  </si>
  <si>
    <t>normalen Zinsstruktur.</t>
  </si>
  <si>
    <t>flachen Zinsstruktur.</t>
  </si>
  <si>
    <t>inversen Zinsstruktur.</t>
  </si>
  <si>
    <t>absteigenden Zinsstruktur.</t>
  </si>
  <si>
    <t>Eine Anleihe hat eine modifizierte Duration von -5,68. In welchem Szenario steigt der Marktwert der Anleihe plus aufgelaufene Stückzinsen um 5,68 Prozent?</t>
  </si>
  <si>
    <t>Wenn die Laufzeit um 1 Jahr verlängert wird</t>
  </si>
  <si>
    <t>Wenn der Kupon um 1,00 Prozentpunkt gesenkt wird</t>
  </si>
  <si>
    <t>Wenn die Rendite um 1,00 Prozentpunkt steigt</t>
  </si>
  <si>
    <t>Wenn die Rendite um 1,00 Prozentpunkt abnimmt</t>
  </si>
  <si>
    <t>Was versteht man unter der Macaulay-Duration einer Anleihe?</t>
  </si>
  <si>
    <t>Die Laufzeit des Futures</t>
  </si>
  <si>
    <t>Die Laufzeit der zugrundeliegenden Anleihe</t>
  </si>
  <si>
    <t>Ein Maß für die Konvexität einer Anleihe</t>
  </si>
  <si>
    <t>Die gewichtete durchschnittliche Restlaufzeit der Ausschüttungen einer Anleihe</t>
  </si>
  <si>
    <t>Neue Anlageklassen sollten fortlaufend in das Portfoliomanagement aufgenommen werden, sofern dies generell den Anlagestatuten entspricht.</t>
  </si>
  <si>
    <t>Als Benchmark für ein Portfolio sollten stets Performance-Indizes (Total Return Indizes) genutzt werden.</t>
  </si>
  <si>
    <t>In einer Peer-Group werden Fonds oder Vermögensverwaltungen mit identischer oder ähnlicher Asset Allocation bzw. ähnlichen Strategien verglichen.</t>
  </si>
  <si>
    <t>Indirekte Investments (Investments in Fonds) haben normalerweise den Vorteil, dass der Investor keine Steuer (Spekulationssteuer, Kapitalertragssteuer, Capital Gains Tax) auf An- und Verkäufe innerhalb des Fonds bezahlt.</t>
  </si>
  <si>
    <t>Durch welche Maßnahmen kann das Risiko eines Portfolios verringert werden?</t>
  </si>
  <si>
    <t>Höhere Diversifikation</t>
  </si>
  <si>
    <t>Austausch von Wertpapieren mit hohen Beta-Werten durch Wertpapiere mit geringeren Beta-Werten</t>
  </si>
  <si>
    <t>Geringere Fremdfinanzierung</t>
  </si>
  <si>
    <t>Absicherung am Terminmarkt</t>
  </si>
  <si>
    <t>Was zählt zur strategischen Asset Allocation?</t>
  </si>
  <si>
    <t>Was zählt zur taktischen Asset Allocation?</t>
  </si>
  <si>
    <t>Die Aufteilung des Anlagekapitals auf verschiedene Asset-Klassen (Aktien, Anleihen, Immobilien, etc.)</t>
  </si>
  <si>
    <t>Die Aufteilung des Anlagekapitals nach Branchen, Laufzeiten und unterschiedlichen Schuldnerklassen (Ratings)</t>
  </si>
  <si>
    <t>Die Aufteilung des Anlagekapitals nach Währungen.</t>
  </si>
  <si>
    <t>Die Aufteilung des Anlagekapitals nach einzelnen Titeln oder Emittenten.</t>
  </si>
  <si>
    <t>Die Aufteilung des Anlagekapitals nach Ländern.</t>
  </si>
  <si>
    <t>Wie hoch ist der Korrelationskoeffizient einer Aktie, deren Entwicklung vollkommen parallel zu der des Marktes erfolgt?</t>
  </si>
  <si>
    <t>Von einer Handelsstrategie (Barbell) für ein Anleiheportfolio spricht man,</t>
  </si>
  <si>
    <t>Welches zusätzliche Risiko besteht für Anleger in einem Swap-basierten ETF gegenüber einem voll replizierten ETF?</t>
  </si>
  <si>
    <t>Eine typische Strategie zur Erhöhung der Rendite eines Aktienportfolios (bei Senkung des Risikos) ist …</t>
  </si>
  <si>
    <t>Bei einer perfekten symmetrischen Verteilung (Normalverteilung) liegen innerhalb von drei Standardabweichungen rund …</t>
  </si>
  <si>
    <t>Bei einer Veränderung des Finanzierungskostensatzes …</t>
  </si>
  <si>
    <t>+0,1</t>
  </si>
  <si>
    <t>+0,5</t>
  </si>
  <si>
    <t>+1</t>
  </si>
  <si>
    <t>-1</t>
  </si>
  <si>
    <t>wenn das Kapital gleichmäßig auf verschiedene Laufzeiten aufgeteilt wird.</t>
  </si>
  <si>
    <t>wenn das Kapital gezielt in einen Laufzeitenbereich investiert wird.</t>
  </si>
  <si>
    <t>wenn das Anlagekapital geteilt wird und jeweils hälftig in Anleihen mit kurzer und langer Laufzeit investiert wird.</t>
  </si>
  <si>
    <t>wenn das Anlagekapital in Anleihen mit sehr langen Laufzeiten (über 10 Jahre) investiert wird.</t>
  </si>
  <si>
    <t>Tracking Error</t>
  </si>
  <si>
    <t>Kontrahentenrisiko</t>
  </si>
  <si>
    <t>Liquiditätsrisiko</t>
  </si>
  <si>
    <t>der Verkauf von Futures auf die Aktien.</t>
  </si>
  <si>
    <t>der Kauf von zusätzlichen Calls auf die Aktien.</t>
  </si>
  <si>
    <t>der Verkauf von Calls auf die Aktien.</t>
  </si>
  <si>
    <t>der Kauf von Puts auf die Aktien.</t>
  </si>
  <si>
    <t>68% der Grundgesamtheit aller Daten (Ereignisse).</t>
  </si>
  <si>
    <t>95% der Grundgesamtheit aller Daten (Ereignisse).</t>
  </si>
  <si>
    <t>99% der Grundgesamtheit aller Daten (Ereignisse).</t>
  </si>
  <si>
    <t>rund 50% der Grundgesamtheit aller Daten (Ereignisse).</t>
  </si>
  <si>
    <t>verändert sich der Kassapreis.</t>
  </si>
  <si>
    <t>verändert sich der Preis eines Forwards (Futures).</t>
  </si>
  <si>
    <t>verändern sich Kassa- und Futures-Preis.</t>
  </si>
  <si>
    <t>verändern sich weder Kassa- noch Terminpreise.</t>
  </si>
  <si>
    <t>Eurex Study Plan</t>
  </si>
  <si>
    <t>TF (2 P)</t>
  </si>
  <si>
    <t>MC (4 P)</t>
  </si>
  <si>
    <t>SC (2 P)</t>
  </si>
  <si>
    <t>Total</t>
  </si>
  <si>
    <t>Points</t>
  </si>
  <si>
    <t>%</t>
  </si>
  <si>
    <t>Underlying Markets</t>
  </si>
  <si>
    <t>Portfolio management</t>
  </si>
  <si>
    <t>Basics of derivatives</t>
  </si>
  <si>
    <t>Symmetric derivatives</t>
  </si>
  <si>
    <t>Options</t>
  </si>
  <si>
    <t>Regulation</t>
  </si>
  <si>
    <t>Eurex Exchange</t>
  </si>
  <si>
    <t>Clearing</t>
  </si>
  <si>
    <t>TOTAL</t>
  </si>
  <si>
    <t>Study Phase</t>
  </si>
  <si>
    <t>Source</t>
  </si>
  <si>
    <t>Topics</t>
  </si>
  <si>
    <t>Time to spent (in d)</t>
  </si>
  <si>
    <t>Handbook</t>
  </si>
  <si>
    <t>All Topics</t>
  </si>
  <si>
    <t>Exchange Rules</t>
  </si>
  <si>
    <t>Board/Mgmt./Short Forms</t>
  </si>
  <si>
    <t>Slides</t>
  </si>
  <si>
    <t>Mock Exams</t>
  </si>
  <si>
    <t>Source Overview</t>
  </si>
  <si>
    <t>To be included</t>
  </si>
  <si>
    <t>Important</t>
  </si>
  <si>
    <t>Yes</t>
  </si>
  <si>
    <t>Somewhat Important</t>
  </si>
  <si>
    <t>Trading Conditions</t>
  </si>
  <si>
    <t>Only Slides relevant</t>
  </si>
  <si>
    <t>No</t>
  </si>
  <si>
    <t>Contract Specifications</t>
  </si>
  <si>
    <t>Enlight</t>
  </si>
  <si>
    <t>Hull</t>
  </si>
  <si>
    <t>Thema</t>
  </si>
  <si>
    <t>Frage</t>
  </si>
  <si>
    <t xml:space="preserve">Steigendes Angebot an Euro
 </t>
  </si>
  <si>
    <t>A</t>
  </si>
  <si>
    <t>B</t>
  </si>
  <si>
    <t>C</t>
  </si>
  <si>
    <t>D</t>
  </si>
  <si>
    <t xml:space="preserve"> </t>
  </si>
  <si>
    <t>Antwort anzeigen</t>
  </si>
  <si>
    <t>Welche Werte werden bei der Ermittlung der Margin-Anforderung berücksichtigt?</t>
  </si>
  <si>
    <t>Eigenkapital für das Clearing-Mitglied</t>
  </si>
  <si>
    <t>Beitrag zum Clearing-Fonds</t>
  </si>
  <si>
    <t>Einlagen des Instituts bei der Deutschen Bundesbank/ Schweizer Nationalbank</t>
  </si>
  <si>
    <t>Sicherheiten im Wertpapierdepot bei der Clearstream Banking AG/ SegaIntersettle AG</t>
  </si>
  <si>
    <t>Für die Berechnung der Future Spread Margin werden Netto-Long-Positionen so weit wie möglich mit Netto-Short-Positionen in einem Kontrakt verrechnet, der auf demselben Basiswert, aber mit unterschiedlichen Laufzeiten basiert.</t>
  </si>
  <si>
    <t>Wie ordnet die Eurex Clearing AG nach Fälligkeit des Euro-BUND-Futures die zur Lieferung avisierten Bundesanleihen den Clearing-Mitgliedern mit offenen Long-Positionen im Euro-BUND-Future zu?</t>
  </si>
  <si>
    <t>First in – First out (FIFO)</t>
  </si>
  <si>
    <t>Last in – First Out (LIFO)</t>
  </si>
  <si>
    <t>Highest in – First Out (HIFO)</t>
  </si>
  <si>
    <t>Zufallsprinzip</t>
  </si>
  <si>
    <t>Was ist (sind) der (die) Hauptunterschied(e) zwischen außerbörslichen (OTC) Transaktionen und börsengehandelten Derivaten?</t>
  </si>
  <si>
    <t>Der Hauptunterschied ist die Liquidität der beiden Märkte</t>
  </si>
  <si>
    <t>Der Hauptunterschied ist die Schwierigkeit, eine Kassamarktposition mit einer OTC-Transaktion abzusichern Transaktion abzusichern</t>
  </si>
  <si>
    <t>Der Hauptunterschied ist, dass man mit einer OTC-Transaktion nicht von fallenden Zinssätzen profitieren kann</t>
  </si>
  <si>
    <t>Der Hauptunterschied ist, dass man nur an einer Börse eine komplexe Anlagestrategie</t>
  </si>
  <si>
    <t>Das Risiko für Anleger in Bezug auf Positionen auf dem Terminmarkt ergibt sich unter anderem aus der mit Terminpositionen verbundenen Hebelwirkung.</t>
  </si>
  <si>
    <t>Ein Anleger vergleicht bei einer Investition von EUR 50.000 die folgenden Möglichkeiten: (A) Kauf eines Aktienportfolios, das den DAX-Index widerspiegelt oder (B) Hinterlegung dieses Betrages als zusätzliche Margin zum Aufbau einer vergleichbaren Long Position im DAX-Future aufzubauen. Welche Aussage(n) ist (sind) richtig?</t>
  </si>
  <si>
    <t>Bei Möglichkeit (A) riskiert der Anleger maximal EUR 5.000.</t>
  </si>
  <si>
    <t>Möglichkeit (B) führt zu einem viel höheren Gewinnanteil, wenn der Markttrend positiv ist.</t>
  </si>
  <si>
    <t>Möglichkeit (A) und (B) unterscheiden sich nur hinsichtlich ihrer jeweiligen Transaktionskosten</t>
  </si>
  <si>
    <t>Welche Alternative bevorzugen die Marktteilnehmer in der Regel: die Position bis zum Liefertermin zu halten und physisch zu liefern oder zu übernehmen oder die Position vor Fälligkeit zu schließen?</t>
  </si>
  <si>
    <t>Halten und Liefern</t>
  </si>
  <si>
    <t>Position glatt stellen</t>
  </si>
  <si>
    <t>Eine Long-Futures-Position entspricht einer Long-Position in dem zugrunde liegenden Instrument, die vollständig durch die Kreditaufnahme von Barmitteln finanziert wird.</t>
  </si>
  <si>
    <t>Je höher die Finanzierungskosten für eine Investition in den Basiswert sind, desto höher ist der Preis eines Futures-Kontrakts auf diesen Basiswert.</t>
  </si>
  <si>
    <t>[Futures-Preis = Barpreis + Kosten ↑ - Erträge]</t>
  </si>
  <si>
    <t>Die Ausschüttungen auf einen Basiswert für die Laufzeit eines entsprechenden Futures-Kontrakts haben sich erhöht. Was sind die Auswirkungen auf den Futures-Preis?</t>
  </si>
  <si>
    <t>Futures-Preis steigt</t>
  </si>
  <si>
    <t>Futures-Preis fällt</t>
  </si>
  <si>
    <t>Futures-Preis bleibt unverändert</t>
  </si>
  <si>
    <t>Die Auswirkungen können nicht bestimmt werden</t>
  </si>
  <si>
    <t>[Futures-Preis = Barpreis + Kosten  - Erträge ↑]</t>
  </si>
  <si>
    <t>Bei einer normalen Zinsstrukturkurve liegt die Kurve der impliziten Terminsätze oberhalb der Zinsstrukturkurve und sinkt leicht ab.</t>
  </si>
  <si>
    <t>Für die Aufrechterhaltung einer Kassamarktposition fallen Finanzierungskosten in Höhe von 2,50 an. Die Ausschüttungen auf den Basiswert betragen 2,00. Ausgehend von einem Futures-Kurs von 101,00 ist mit einer Cash-and-Carry-Arbitrage ein Gewinn von 0,50 erzielbar (unter Vernachlässigung etwaiger Gebühren). Wie hoch ist der entsprechende Kassamarktpreis?</t>
  </si>
  <si>
    <t xml:space="preserve"> 0.50 = 101.00 - St - 2.50 + 2 = - St + 100.50 →  St = 100.50 – 0.50 = 100.00</t>
  </si>
  <si>
    <t>99.00</t>
  </si>
  <si>
    <t>99.50</t>
  </si>
  <si>
    <t>100.50</t>
  </si>
  <si>
    <t>100.00</t>
  </si>
  <si>
    <t>Ein Basiswert wird zu 89,55 gehandelt, der entsprechende Futures-Kontrakt zu 91,40. Der für die Laufzeit des Futures-Kontrakts relevante Periodenzinssatz beträgt 2 Prozent. Der Kontraktmultiplikator beträgt 1.000. Was ist das Ergebnis einer Cash-and-Carry-Arbitrage am Liefertag des Futures-Kontrakts (unter Vernachlässigung etwaiger Gebühren)?</t>
  </si>
  <si>
    <t>→ (91.40 – 89.55 · 1.02) · 1,000 = 59.00</t>
  </si>
  <si>
    <t>59.00</t>
  </si>
  <si>
    <t>59.50</t>
  </si>
  <si>
    <t>10.50</t>
  </si>
  <si>
    <t>11.50</t>
  </si>
  <si>
    <t>Welche Auswirkungen hat ein Anstieg des Marktzinssatzes?</t>
  </si>
  <si>
    <t>Sinkende Basispunktwerte von Anleihen</t>
  </si>
  <si>
    <t>Sinkende Duration von Anleihen</t>
  </si>
  <si>
    <t>Sinkende Marktpreise von Anleihen</t>
  </si>
  <si>
    <t>Steigende Marktpreise von Anleihen</t>
  </si>
  <si>
    <t>Ein Anstieg der Zinssätze erhöht die Abzinsung späterer Cashflows stärker als Cashflows mit kürzerer Laufzeit, wodurch sich der Basispunktwert und die Duration von Anleihen verringern. Ein Anstieg der Marktzinsen führt dazu, dass die Anleihe sinkt und nicht steigt.</t>
  </si>
  <si>
    <t>Fragenart</t>
  </si>
  <si>
    <t>Welche der folgenden Faktoren müssen bei der Bewertung von Terminkontrakten berücksichtigt werden?</t>
  </si>
  <si>
    <t>Wie hoch ist der Wert der Basis bei Fälligkeit des Futures-Kontrakts?</t>
  </si>
  <si>
    <t>aktuelle Preis des  Basiswerts</t>
  </si>
  <si>
    <t>0 EUR</t>
  </si>
  <si>
    <t>Zinssatz</t>
  </si>
  <si>
    <t>Handelsvolumen</t>
  </si>
  <si>
    <t>Laufzeit</t>
  </si>
  <si>
    <t>Dividenden des Basiswerts</t>
  </si>
  <si>
    <t>Aus welchen Komponenten setzt sich eine reine reverse Cash-and-Carry-Arbitrageposition zusammen?</t>
  </si>
  <si>
    <t>Short Kassamarkt / Short Geldmarkt / Long Futures</t>
  </si>
  <si>
    <t>Long Kassamarkt / Short Geldmarkt / Long Futures</t>
  </si>
  <si>
    <t>Short Kassamarkt / Long Geldmarkt / Long Futures</t>
  </si>
  <si>
    <t>Long Kassamarkt / Long Geldmarkt / Short Futures</t>
  </si>
  <si>
    <t>Wir haben eine reine Cash-and-Carry-Arbitragestrategie aufgebaut, wenn der Futures-Preis unter dem theoretischen Future-Preis liegt. Somit haben wir eine Long-Position im Future, eine Short-Position im Underlying und eine Long-Position im Geldmarkt.</t>
  </si>
  <si>
    <t>Welche Merkmale der Macaulay-Duration treffen zu:</t>
  </si>
  <si>
    <t>Bei gleicher Restlaufzeit ist die Duration höher, wenn der Kupon niedriger ist.</t>
  </si>
  <si>
    <t>Bei gleichem Kupon ist die Duration höher, je kürzer die Restlaufzeit ist.</t>
  </si>
  <si>
    <t>Welche Energien zählen zu den Primärenergien?</t>
  </si>
  <si>
    <t>Öl</t>
  </si>
  <si>
    <t>Kohle</t>
  </si>
  <si>
    <t>Gas</t>
  </si>
  <si>
    <t>Strom</t>
  </si>
  <si>
    <t>Strom zählt zu Sekundärenergien</t>
  </si>
  <si>
    <t>Ein Betafaktor - Maß für das systematische Risiko -  von &gt;1 bedeutet, der Aktienkurs bewegt sich weniger stark als der Markt.</t>
  </si>
  <si>
    <t>&gt;1: Der Aktienkurs bewegt sich stärker als der Markt.</t>
  </si>
  <si>
    <t>Durch die Portfoliodiversifikation kann das unsystematische Risiko eliminiert werden, während das systematische Risiko über den Betafaktor gesteuert wird.</t>
  </si>
  <si>
    <t xml:space="preserve">Sofern der Terminkurs größer als der Kassakurs ist, bezeichnet man dies in den Warenterminmärkten als Backwardation. </t>
  </si>
  <si>
    <t>Dies heißt Contango. Auf Grund von z.B. saisonalen Schwankungen kann der Terminkurs kleiner als der Kassakurs sein --&gt; Backwardation.</t>
  </si>
  <si>
    <t xml:space="preserve">Kontrakte mit effektiver Lieferung können durch einen so genannten “Roll-over” – die gleichzeitige Schließung eines fällig werdenden Kontraktes und Eröffnung eines längerfristigen Kontraktes auf den gleichen Basiswert – prolongiert werden. </t>
  </si>
  <si>
    <t>Die Beteiligung an der Entwicklung eines Indexes kann langfristig nicht durch eine Anlage am Geldmarkt in Kombination mit dem Kauf entsprechender Index-Futures erreicht werden.</t>
  </si>
  <si>
    <t>Das Kontrahentenrisiko kann unter Umständen zu systemischen Risiken führen.</t>
  </si>
  <si>
    <t>Grundsätzlich ist das Kontrahentenrisiko bei OTC-Geschäften kleiner als bei Börsengeschäften.</t>
  </si>
  <si>
    <t>Contracts for Difference können üblicherweise auf Wunsch physisch beliefert werden.</t>
  </si>
  <si>
    <t>Im Unterschied zu börsengehandelten Derivaten können OTC Derivate nicht auf alle verfügbaren Basiswerte gehandelt werden.</t>
  </si>
  <si>
    <t>Bei Derivaten, die über ein Clearinghaus abgewickelt werden, bestehen geringere Kapitalanforderungen der Aufsichtsbehörden als bei OTC-Geschäften, die nicht über Clearing- Häuser abgewickelt werden.</t>
  </si>
  <si>
    <t>Aufgrund ihrer Standardisierung sind börsengehandelte Derivate normalerweise nicht in der Lage, perfekte Absicherungen zu garantieren.</t>
  </si>
  <si>
    <t>Wodurch zeichnet sich der OTC-Markt aus?</t>
  </si>
  <si>
    <t>Höhere Preistransparenz als bei börsengehandelten Derivaten.</t>
  </si>
  <si>
    <t>Produkte können auf individuelle Bedürfnisse angepasst werden.</t>
  </si>
  <si>
    <t>Welche Aussagen sind bezüglich Absicherungstransaktionen normalerweise richtig?</t>
  </si>
  <si>
    <t>Je individueller die Absicherung (bei Absicherung mit OTC-Instrumenten), desto höher die Kosten.</t>
  </si>
  <si>
    <t>Wodurch wird das Dokumentationsrisiko bei OTC-Geschäften vermindert?</t>
  </si>
  <si>
    <t>ISDA Master Agreements</t>
  </si>
  <si>
    <t>Kapitaladäquanzrichtlinie</t>
  </si>
  <si>
    <t>Bei einer Cash-and-Carry-Position setzt der reine Arbitrageur Kapital in Höhe des Preises des Basiswertes ein.</t>
  </si>
  <si>
    <t>Eine Reverse Cash-and-Carry-Position wird aufgebaut, wenn der Future relativ zum Preis des Basiswertes unterbewertet ist.</t>
  </si>
  <si>
    <t>Eine Long-Position im Euro-BUND-Future-Kontrakt kann durch eine Long-Position in der CTD- Anleihe und Geldaufnahme synthetisch aufgebaut werden.</t>
  </si>
  <si>
    <t>Jedes Derivat kann durch eine Kombination einer Position im Kassamarkt und im Geldmarkt, die bis zur Fälligkeit bzw. zum Verfall des Derivats unverändert gehalten wird, synthetisch hergestellt werden.</t>
  </si>
  <si>
    <t>Eine Long Future-Position entspricht einer Long Basiswert-Position, die vollständig fremdfinanziert wird.</t>
  </si>
  <si>
    <t>Negative Cost-of-Carry ergeben sich bei Finanzprodukten, wenn die Finanzierungskosten unter den Ausschüttungen des Basiswertes liegen.</t>
  </si>
  <si>
    <t>Die Basiskonvergenz ist ein vollkommen linearer Prozess, bei dem sich die Differenz zwischen Kassa- und Terminpreis täglich um einen bestimmten Betrag verringert.</t>
  </si>
  <si>
    <t>Ein DAX-Future mit einer Laufzeit von sechs Monaten hat einen Preis von 5.000,0. Das Kassaniveau liegt bei 4.922,44. Der (einfache) Zinssatz per annum beträgt 3,15 Prozent.</t>
  </si>
  <si>
    <t>Im Gleichgewicht von Future-Preisen und den Preisen der entsprechenden Basiswerte entspricht die Basis der Cost-of-Carry.</t>
  </si>
  <si>
    <t>Der implizite Refinanzierungssatz (Implied Repo Rate) ist derjenige Zinssatz, der dem gehandelten Preis des Future-Kontraktes zugrunde liegt.</t>
  </si>
  <si>
    <t>Welche Risiken können bei einer Cash- and Carry-Arbitrage mit Fixed Income Futures entstehen?</t>
  </si>
  <si>
    <t>Veränderung des Tagesgeldzinssatzes</t>
  </si>
  <si>
    <t>Tägliche Gewinn- und Verlustabrechnungen</t>
  </si>
  <si>
    <t>Verringerung der Restlaufzeit des Future-Kontraktes</t>
  </si>
  <si>
    <t>Verringerung des Zinssatzes für die Laufzeit des Future-Kontraktes</t>
  </si>
  <si>
    <t>Der Kassapreis beträgt 130 und der Future-Preis 140. Nach einiger Zeit sind der Kassapreis auf 135 und der Future-Preis auf 150 gestiegen. Die Basis hat sich …</t>
  </si>
  <si>
    <t>ausgeweitet (widening).</t>
  </si>
  <si>
    <t>verringert (narrowing).</t>
  </si>
  <si>
    <t>Was beeinflusst den Leverage-Faktor bei Future-Geschäften?</t>
  </si>
  <si>
    <t>Initial Margin</t>
  </si>
  <si>
    <t>Kontraktgröße des Futures</t>
  </si>
  <si>
    <t>Aus welchen Komponenten setzt sich eine reine Cash-and-Carry-Arbitrageposition zusammen?</t>
  </si>
  <si>
    <t>Long Kassa/Long Geldmarkt/Short Future</t>
  </si>
  <si>
    <t>Short Kassa/Long Geldmarkt/Long Future</t>
  </si>
  <si>
    <t>Welcher gegenwärtige Preis für den Basiswert wird bei einer Reverse Cash-and-Carry-Arbitrage festgelegt?</t>
  </si>
  <si>
    <t>Kaufpreis</t>
  </si>
  <si>
    <t>Verkaufspreis</t>
  </si>
  <si>
    <t>Welche der folgenden Investoren können in der Regel kostengünstig eine äquivalente Position mit einer Reverse Cash-and-Carry - Arbitrage im Euro STOXX 50-Future aufbauen?</t>
  </si>
  <si>
    <t>Investoren mit Long-Positionen im Geldmarkt</t>
  </si>
  <si>
    <t>Investoren mit Long-Positionen in diversifizierten Euro STOXX 50 Aktienportfolios</t>
  </si>
  <si>
    <t>Ein Basiswert notiert bei einem Kurs von 200,00. Die Ausschüttungen des Basiswertes belaufen sich auf 8,50. Für die Laufzeit des Futures fallen Finanzierungskosten in Höhe von 9,00 an. Der Future wird im Markt mit einem Preis von 199,00 gehandelt. Welche Arbitrage erscheint gewinnversprechend?</t>
  </si>
  <si>
    <t>Cash-and-Carry</t>
  </si>
  <si>
    <t>Reverse-Cash-and-Carry</t>
  </si>
  <si>
    <t>Wie liegt der Euro-BUND-Future-Preis normalerweise relativ zum Preis des Basiswertes?</t>
  </si>
  <si>
    <t>Höher</t>
  </si>
  <si>
    <t>Niedriger</t>
  </si>
  <si>
    <t>Eine Long Future-Position mit einjähriger Laufzeit auf eine Anleihe, die am Liefertag des Futures eine Restlaufzeit von einem Jahr hat, kann durch welche Position synthetisch am besten aufgebaut werden?</t>
  </si>
  <si>
    <t>Short einjährige Anleihe und Long zweijährige Anleihe</t>
  </si>
  <si>
    <t>Long einjährige Anleihe und Short zweijährige Anleihe</t>
  </si>
  <si>
    <t>Der Kassapreis beträgt 130 und der Future-Preis 140. Nach einiger Zeit ist der Kassapreis auf 120 und der Future-Preis auf 135 gefallen. Welche Aussage ist richtig?</t>
  </si>
  <si>
    <t>Die Basis hat sich ausgeweitet (Widening) und dabei abgeschwächt. Dies ist schlecht für einen Hedger, der einen Short Hedge durchführt.</t>
  </si>
  <si>
    <t>Die Basis hat sich verringert (Narrowing) und dabei verstärkt. Dies ist schlecht für einen Hedger, der einen Short Hedge durchführt.</t>
  </si>
  <si>
    <t>Was bedeuten negative Cost-of-Carry?</t>
  </si>
  <si>
    <t>Finanzierungskosten sind höher als die Erlöse</t>
  </si>
  <si>
    <t>Erlöse sind höher als die Finanzierungskosten</t>
  </si>
  <si>
    <t>Welchem Quotienten entspricht bei Future-Kontrakten der prozentuale Gewinn oder Verlust (Rendite) auf die eingesetzte Sicherheitsleistung?</t>
  </si>
  <si>
    <t>Gewinn (Verlust) der Future-Position / Variation Margin bei Fälligkeit des Kontraktes</t>
  </si>
  <si>
    <t>Gewinn (Verlust) der Future-Position / Rechnungsbetrag bei Fälligkeit des Kontraktes</t>
  </si>
  <si>
    <t>Welche Bezeichnung hat der Quotient der prozentualen Preisveränderungen zwischen dem derivativen Instrument und dem Basiswert, bezogen auf das einzusetzende Kapital?</t>
  </si>
  <si>
    <t>Delta</t>
  </si>
  <si>
    <t>Gamma</t>
  </si>
  <si>
    <t>Der Kassapreis beträgt 130 und der Future-Preis 140. Sie erwarten eine Verstärkung (Strengthening) der Basis. Welche Aussage ist bei einem Handeln der Basis richtig?</t>
  </si>
  <si>
    <t>Sie verkaufen die Kasse und kaufen den Future.</t>
  </si>
  <si>
    <t>Sie kaufen die Kasse und verkaufen den Future.</t>
  </si>
  <si>
    <t>Index-Futures, zum Beispiel der DAX-Future an Eurex, verlangen die Lieferung bzw. Abnahme eines festgelegten Aktienportfolios.</t>
  </si>
  <si>
    <t>Ein Investor nimmt eine Short Euro STOXX 50-Future-Position (Multiplikator: EUR 10/Punkt) von vier Kontrakten bei einer Notierung von 3.533-3534 ein. Zwei Wochen später stellt er die Position bei einer Notierung von 3.401-3.407 glatt. Sein Gewinn beträgt EUR 5.080,00 (ohne Berücksichtigung von Gebühren).</t>
  </si>
  <si>
    <t>Ein Investor nimmt eine Long Euro-BUND-Future-Position von einem Kontrakt bei einer Notierung von 102,66-102,70 ein. Zwei Wochen später stellt er die Position bei einer Notierung von 105,10- 105,15 glatt. Sein Gewinn beträgt EUR 2400,00 (ohne Berücksichtigung von Gebühren).</t>
  </si>
  <si>
    <t>Die Einnahme einer Long-Position im Euro-BUND-Future-Kontrakt ist mit der Erwartung steigender Renditen für die lieferbaren Bundesanleihen verbunden.</t>
  </si>
  <si>
    <t>Anders als bei einem Plain Vanilla-Zinsswap werden die Nominalbeträge bei einem Währungs- Swap häufig zu Beginn und am Ende der Laufzeit ausgetauscht.</t>
  </si>
  <si>
    <t>Ein Zinsswap kann als eine Kette von Forward Rate Agreements betrachtet werden.</t>
  </si>
  <si>
    <t>Der Tick des Eurex DAX-Future-Kontraktes beträgt 0,5 Indexpunkte.</t>
  </si>
  <si>
    <t>Der Eurex Euro STOXX 50-Future-Kontrakt wird in bar abgerechnet.</t>
  </si>
  <si>
    <t>Die Notierung des Eurex Euro-BUND-Future-Kontraktes erfolgt in Prozent pro EUR 100,00 Nominalwert.</t>
  </si>
  <si>
    <t>Welche der folgenden Quotierungen ist im Dreimonats-EURIBOR-Future nicht möglich?</t>
  </si>
  <si>
    <t>97,535 - 97,545</t>
  </si>
  <si>
    <t>97,991 - 97,987</t>
  </si>
  <si>
    <t>Welche Ungleichgewichte gleicht ein Arbitrage-Händler im Geldterminmarkt aus?</t>
  </si>
  <si>
    <t>Das Ungleichgewicht zwischen lang- und mittelfristigen Anleihen</t>
  </si>
  <si>
    <t>Das Ungleichgewicht zwischen Einmonats- und Dreimonats-Geldmarktsätzen</t>
  </si>
  <si>
    <t>Wann sollten FRAs ge- oder verkauft werden?</t>
  </si>
  <si>
    <t>Kreditnehmer mit variabel verzinstem Kredit können sich durch den Kauf eines FRA gegen steigende Zinsen schützen.</t>
  </si>
  <si>
    <t>Kreditnehmer mit variabel verzinstem Kredit können sich durch den Verkauf eines FRA gegen steigende Zinsen schützen.</t>
  </si>
  <si>
    <t>Der Receiver in einem Plain Vanilla-Zinsswap</t>
  </si>
  <si>
    <t>zahlt den variablen Zinssatz.</t>
  </si>
  <si>
    <t>empfängt den variablen Zinssatz.</t>
  </si>
  <si>
    <t>Welche Art von Wertpapier kann eine in den Eurex Euro-BOBL-Future-Kontrakt lieferbare Anleihe sein?</t>
  </si>
  <si>
    <t>Deutsche Schuldverschreibungen mit einer Laufzeit von 4,5 Jahren</t>
  </si>
  <si>
    <t>Deutsche Schuldverschreibungen mit einer Laufzeit von 8,5 Jahren</t>
  </si>
  <si>
    <t>Sie verkaufen einen FRA 3x6 (Zinsperiode: 90 Tage) mit Nominalwert 10.000.000. Der FRA-Zins beträgt 2,2%. Der gefixte Referenzzinssatz in 3 Monaten beträgt 1,8%. Welche Ausgleichszahlung leisten Sie oder erhalten Sie (ohne Diskontierung)?</t>
  </si>
  <si>
    <t>10.000,00</t>
  </si>
  <si>
    <t>-10.000,00</t>
  </si>
  <si>
    <t>Es ist September; ein EUR 15.000.000 Kredit, der auf Basis des EURIBOR Dreimonats-Zinses indexiert ist, wird in 9 Monaten das nächste Mal angepasst. Der Kreditnehmer sichert sich gegen steigende Zinsen ab und verkauft die entsprechende Anzahl Dreimonats-EURIBOR-Future- Kontrakte zu einem impliziten Terminzinssatz von 2,5%. Der Dreimonats-EURIBOR steigt in den 9 Monaten tatsächlich auf 3,5%. Wie viel Gewinn erzielt der Kreditnehmer aus der Terminmarkttransaktion (ohne Berücksichtigung von Gebühren)?</t>
  </si>
  <si>
    <t>EUR 25.000,-</t>
  </si>
  <si>
    <t>EUR 37.500,-</t>
  </si>
  <si>
    <t>EUR 50.000,-</t>
  </si>
  <si>
    <t>EUR 75.000,-</t>
  </si>
  <si>
    <t>Wann erfolgt bei FRAs die Ausgleichszahlung?</t>
  </si>
  <si>
    <t>Am Ende der Vorlaufperiode bzw. zu Beginn der Zinsperiode</t>
  </si>
  <si>
    <t>Am Ende der Zinsperiode</t>
  </si>
  <si>
    <t>Ein Investor nimmt eine Short-Position in einem Future auf Anleihen (Eurex Euro-BUND-Future- Position, Multiplikator: EUR 1000) bei einem Preis von 152,50 ein. Einige Tage später schließt der Markt bei einem Kurs von 154,40. Wie hoch ist der akkumulierte Gewinn oder Verlust pro Kontrakt im Marginkonto (ohne Berücksichtigung von Gebühren)?</t>
  </si>
  <si>
    <t>EUR 4.750,00</t>
  </si>
  <si>
    <t>EUR- 4.750,00</t>
  </si>
  <si>
    <t>Ein Investor nimmt eine Short-Position in einem Index-Future (Eurex DAX-Future, Multiplikator: EUR 25/Punkt) bei einer Notierung von 4.817,0-4.820,0 ein. Zwei Wochen später wird die Position glattgestellt. Der Verlust pro Kontrakt beläuft sich auf EUR 375,00. Zu welchem Preis erfolgte die Glattstellung (ohne Berücksichtigung von Gebühren)?</t>
  </si>
  <si>
    <t>4.802,00</t>
  </si>
  <si>
    <t>4.805,00</t>
  </si>
  <si>
    <t>4.832,00</t>
  </si>
  <si>
    <t>4.835,00</t>
  </si>
  <si>
    <t>Eine Firma ABC wird in der Zukunft neue Aktien emittieren und will sich gegen das allgemeine Marktrisiko absichern. Welche Position ist zur Zielerreichung am besten geeignet?</t>
  </si>
  <si>
    <t>Long ABC Put</t>
  </si>
  <si>
    <t>Short ABC Call</t>
  </si>
  <si>
    <t>Zwischen welchen Minimal- und Maximalwerten muss der Kupon einer für den Eurex Euro-BUND- Future-Kontrakt lieferbaren Bundesanleihe liegen?</t>
  </si>
  <si>
    <t>5,00 und 7,00 Prozent</t>
  </si>
  <si>
    <t>4,00 und 8,00 Prozent</t>
  </si>
  <si>
    <t>In Erwartung einer steiler werdenden Zinsstrukturkurve (normale Zinsstruktur) erscheint ein Intra- Contract-Spread (Intra-Market-Spread) mit Zins-Futures - Long kürzere Laufzeit/Short längere Laufzeit - Gewinn versprechend.</t>
  </si>
  <si>
    <t>Ein Investor geht eine Long Spread-Position im Euro-BUND-Future-Kontrakt bei einer Notierung von 0,86-0,88 ein. Er stellt die Position bei einer Notierung von 0,36-0,39 glatt. Der Verlust pro Kontrakt beträgt EUR 520,00 (ohne Berücksichtigung von Gebühren).</t>
  </si>
  <si>
    <t>Der Kauf eines Futures mit kurzer Laufzeit und der gleichzeitige Verkauf eines Futures auf einen identischen Basiswert mit längerer Laufzeit ist ein Inter-Market-Spread (Inter-Product-Spread).</t>
  </si>
  <si>
    <t>Bei einer Absicherung von Positionen mit Future-Kontrakten muss bei der Berechnung optimaler Hedge Ratios berücksichtigt werden, dass Gewinne und Verluste der Future-Position zu täglichen Cash-Flows führen.</t>
  </si>
  <si>
    <t>Eine Absicherung, bei der der Basiswert eines Fixed-Income Future-Kontraktes nicht mit dem abzusichernden Vermögenswert identisch ist, wird als Cross Hedge bezeichnet.</t>
  </si>
  <si>
    <t>Durch den Kauf von DAX-Future-Kontrakten kann der Beta-Wert eines diversifizierten Aktienportfolios erhöht werden.</t>
  </si>
  <si>
    <t>Bei Absicherungen mit Kapitalmarkt-Futures spielt die CTD eine entscheidende Rolle.</t>
  </si>
  <si>
    <t>Bei der Nutzung von Euro-BUND-Future-Kontrakten zur optimalen Absicherung eines Anleihe- Portfolios müssen lediglich die nominellen Werte der Anleihen im Portfolio mit dem nominellen Wert des Euro-BUND-Future-Kontraktes verglichen werden.</t>
  </si>
  <si>
    <t>Märkte, die sich in einer Backwardation befinden, weisen eine positive Basis auf.</t>
  </si>
  <si>
    <t>Die Veränderung der Basis durch eine Veränderung des Finanzierungskostensatzes stellt kein Basisrisiko bei einem Hedge dar.</t>
  </si>
  <si>
    <t>Je höher die Finanzierungskosten für Investitionen im Basiswert, desto höher ist der Preis eines Forwards auf diesen Basiswert.</t>
  </si>
  <si>
    <t>Plain Vanilla-Zinsswaps haben bei Geschäftsabschluss einen Preis von Null.</t>
  </si>
  <si>
    <t>Sie schließen einen Plain Vanilla-Zinsswap mit 5 Jahren Laufzeit als Payer mit einem Zinssatz von 4% ab. Es liegt eine normale Zinsstrukturkurve vor. Ein Jahr später haben sich die Zinsen nicht verändert (unveränderte Zinsstrukturkurve). Sie sind "Gewinner" im Swap. Bei Glattstellung des Swaps erhalten Sie eine Zahlung.</t>
  </si>
  <si>
    <t>Der Kauf eines (Intra-Contract-) Spreads (mit Futures) beinhaltet gleichzeitig …</t>
  </si>
  <si>
    <t>den Kauf eines Futures mit längerer Laufzeit auf einen identischen Basiswert.</t>
  </si>
  <si>
    <t>den Kauf eines Futures mit kürzerer Laufzeit auf einen identischen Basiswert.</t>
  </si>
  <si>
    <t>Ein Cross Hedge zeichnet sich unter anderem durch das Vorliegen folgender Merkmale aus:</t>
  </si>
  <si>
    <t>Basisrisiko</t>
  </si>
  <si>
    <t>Unterschied zwischen Laufzeit des Absicherungsinstrumentes und Halteperiode des Basiswertes</t>
  </si>
  <si>
    <t>Welche Anleihe aus dem Basket der lieferbaren Anleihen für einen Fixed-Income-Future (z.B. Euro-Bund-Future) ist CTD?</t>
  </si>
  <si>
    <t>Die Anleihe mit der höchsten Implied Repo Rate.</t>
  </si>
  <si>
    <t>Die Anleihe mit dem höchsten theoretischen Preis.</t>
  </si>
  <si>
    <t>Laufzeit des Futures</t>
  </si>
  <si>
    <t>Nominalwert</t>
  </si>
  <si>
    <t>Welche Erwartungen sind normalerweise mit einer Position verbunden, die aus Long langfristiger Future/Short kurzfristiger Future auf einen Basiswert mit negativen Cost-of-Carry besteht?</t>
  </si>
  <si>
    <t>Fallende Finanzierungszinssätze für die Laufzeit der Future-Kontrakte</t>
  </si>
  <si>
    <t>Steigende Finanzierungszinssätze für die Laufzeit der Future-Kontrakte</t>
  </si>
  <si>
    <t>Mit welchen Erwartungen kann eine Position, bestehend aus Long langfristiger Future/Short kurzfristiger Future, auf einen Basiswert mit negativen Cost-of-Carry verbunden sein?</t>
  </si>
  <si>
    <t>Bullishe Erwartungen</t>
  </si>
  <si>
    <t>Bearishe Erwartungen</t>
  </si>
  <si>
    <t>Mit welchem Ausdruck wird ein Hedge bestehend aus Short Basiswert/Long Future bezeichnet?</t>
  </si>
  <si>
    <t>Spread Hedge</t>
  </si>
  <si>
    <t>Short Future Hedge</t>
  </si>
  <si>
    <t>Ein Investor verfügt über ein diversifiziertes Aktienportfolio mit einem Marktwert von EUR 24.000.000,00 und einem Portfolio-Beta von 1,25. Der Euro STOXX 50-Future liegt bei 3.250 und der Euro STOXX 50-Index bei 3.195,00. Welche Anzahl an Euro STOXX 50-Future-Kontrakten muss verkauft werden, um das Portfolio-Beta auf 0,9 abzusenken?</t>
  </si>
  <si>
    <t>258</t>
  </si>
  <si>
    <t>260</t>
  </si>
  <si>
    <t>Ein Investor hält einen Bestand an lieferbaren Bundesanleihen mit einem Nominalwert von EUR 4.000.000,00 und einem Marktwert von EUR 3.800.000,00. Die Anleihe hat einen Konvertierungsfaktor von 0,6843 und der Euro-BUND-Future-Kontrakt wird mit 154,26 notiert. Wie hoch ist die optimale Anzahl der zu Absicherungszwecken zu verkaufenden Euro-BUND-Future- Kontrakte?</t>
  </si>
  <si>
    <t>34</t>
  </si>
  <si>
    <t>35</t>
  </si>
  <si>
    <t>36</t>
  </si>
  <si>
    <t>37</t>
  </si>
  <si>
    <t>229</t>
  </si>
  <si>
    <t>189</t>
  </si>
  <si>
    <t>150</t>
  </si>
  <si>
    <t>131</t>
  </si>
  <si>
    <t>Bei steigenden Finanzierungskosten</t>
  </si>
  <si>
    <t>steigt der theoretische Terminpreis.</t>
  </si>
  <si>
    <t>fällt der theoretische Terminpreis.</t>
  </si>
  <si>
    <t>Die Rendite im Markt für ein Jahr ist 6 Prozent. Die Rendite im Markt für zwei Jahre ist 7 Prozent p.a. Welchen Wert hat die implizite Rendite für Investitionen in einem Jahr mit einer Laufzeit von einem Jahr?</t>
  </si>
  <si>
    <t>Unter 6 Prozent</t>
  </si>
  <si>
    <t>Über 7 Prozent</t>
  </si>
  <si>
    <t>Die expliziten Renditen (Spot Rates) für ein-, zwei- und dreijährige Investitionen entsprechen den folgenden Werten: 4,0, 7,0 und 9,5 Prozent p.a. Der implizite Terminzinssatz (Forward Rate) für eine einjährige Investition in einem Jahr beträgt 10,09 Prozent. Wie hoch ist die Forward Rate für eine einjährige Investition in zwei Jahren?</t>
  </si>
  <si>
    <t>14,68 Prozent</t>
  </si>
  <si>
    <t>15,29 Prozent</t>
  </si>
  <si>
    <t>Bei einer normalen Zinsstrukturkurve ergibt sich die folgende Kurve für implizite Terminzinssätze (Forward Rates):</t>
  </si>
  <si>
    <t>Fallende Kurve</t>
  </si>
  <si>
    <t>Steigende Kurve</t>
  </si>
  <si>
    <t>Eine einjährige Geldanlage hat eine Rendite von 5 Prozent, während eine zweijährige Geldanlage eine Rendite von 7 Prozent p.a. hat (Zinszahlung jeweils bei Fälligkeit). Wie hoch ist die implizite Einjahresrendite in einem Jahr?</t>
  </si>
  <si>
    <t>5 Prozent</t>
  </si>
  <si>
    <t>6 Prozent</t>
  </si>
  <si>
    <t>9,04 Prozent</t>
  </si>
  <si>
    <t>12,00 Prozent</t>
  </si>
  <si>
    <t>Wie viele verschiedene Laufzeiten werden bei den DAX-Future-Kontrakten zu jedem Zeitpunkt gehandelt?</t>
  </si>
  <si>
    <t>3.427,00</t>
  </si>
  <si>
    <t>3.053,00</t>
  </si>
  <si>
    <t>650</t>
  </si>
  <si>
    <t xml:space="preserve"> 2.600</t>
  </si>
  <si>
    <t>Der Euribor für Dreimonatsgeld wird mit 0,675 Prozent fixiert. Wie notiert der Eurex Dreimonats- Euribor-Future-Kontrakt (FEU3) auf Basis dieses Wertes am letzten Handelstag?</t>
  </si>
  <si>
    <t>0,675</t>
  </si>
  <si>
    <t>99,324</t>
  </si>
  <si>
    <t xml:space="preserve"> 99,325</t>
  </si>
  <si>
    <t xml:space="preserve"> 99,326</t>
  </si>
  <si>
    <t>Der Preis eines Basiswertes beträgt EUR 350,00. Das Instrument hat positive Cost-of-Carry von 3 Prozent p.a. Wie hoch ist der Preis des entsprechenden Future-Kontraktes mit einer Laufzeit von sechs Monaten?</t>
  </si>
  <si>
    <t>EUR 344,83</t>
  </si>
  <si>
    <t>EUR 344,75</t>
  </si>
  <si>
    <t>Es existiert eine positive Basis in Höhe von EUR 10,00. Der Preis des Basiswertes liegt bei EUR 500,00. Wie hoch ist der Future-Preis?</t>
  </si>
  <si>
    <t>EUR 510,00</t>
  </si>
  <si>
    <t>EUR 500,00</t>
  </si>
  <si>
    <t>Der Schlussabrechnungspreis des Eurex Euro-BUND-Future ist 155,00. Die CTD-Anleihe mit einem Konvertierungsfaktor von 0,63 und einem Marktpreis von 97,50 wird geliefert. Die Stückzinsen betragen EUR 0,45. Wie hoch ist der Gewinn oder Verlust pro Kontrakt bei Lieferung der CTD-Anleihe (ohne Berücksichtigung von Gebühren)?</t>
  </si>
  <si>
    <t>EUR 150,00</t>
  </si>
  <si>
    <t>EUR 150,45</t>
  </si>
  <si>
    <t>Ein Future hat eine Quotierung von 1.030-1.040. Der entsprechende Basiswert wird mit 990-1.000 quotiert. Wie hoch ist der Periodenzinssatz für eine Reverse Cash-and-Carry-Position?</t>
  </si>
  <si>
    <t>3,00 Prozent</t>
  </si>
  <si>
    <t>4,00 Prozent</t>
  </si>
  <si>
    <t>Ein Investor hält ein diversifiziertes Aktienportfolio mit einem Marktwert von EUR 8.000.000,00. Der Beta-Faktor des Portfolios ist 1,5 und der gegenwärtige Eurex DAX-Future-Preis liegt bei 11.824,5. Die optimale Anzahl der zwecks Absicherung zu verkaufenden DAX-Future-Kontrakte beträgt 41. Mit welchem prozentualen Aufschlag für die Laufzeit des Futures wird der DAX-Future im Vergleich zum DAX-Kassapreis gehandelt?</t>
  </si>
  <si>
    <t>0 Prozent</t>
  </si>
  <si>
    <t>0,5 Prozent</t>
  </si>
  <si>
    <t>Ein Investor möchte sein aus Euro STOXX 50-Aktien bestehendes Portfolio im Wert von EUR 1.450.000,00 durch den Verkauf von Eurex Euro STOXX 50-Future absichern. Wie viele Kontrakte des Eurex Euro Stoxx 50-Future muss er für eine optimale Absicherung verkaufen, wenn sein Portfolio ein Beta von 0,87 aufweist und der Index bei 4.211,00 notiert?</t>
  </si>
  <si>
    <t>12</t>
  </si>
  <si>
    <t>30</t>
  </si>
  <si>
    <t>60</t>
  </si>
  <si>
    <t>7</t>
  </si>
  <si>
    <t>Eine lieferbare Anleihe (Basiswert) wird zu 89,55 und der entsprechende Future-Kontrakt zu 91,40 gehandelt. Der für die Laufzeit des Futures relevante Periodenzinssatz ist 2 Prozent. Der Kontrakt hat einen Multiplikator von 1.000. Wie hoch ist das Ergebnis einer Reverse Cash-and-Carry- Arbitrage am Liefertag des Futures (ohne Berücksichtigung von Gebühren)?</t>
  </si>
  <si>
    <t>EUR 59,00</t>
  </si>
  <si>
    <t>EUR - 59,00</t>
  </si>
  <si>
    <t>Ein Anleger geht eine Long-Position von 6 Kontrakten im Eurex Euro-BUND-Future bei einer Quotierung von 147,30 - 147,31 ein. Im Gegenzug nimmt er eine Short-Position von 9 Kontrakten im Eurex Euro-BOBL-Future bei einer Quotierung von 126,45 - 126,46 ein. Der Schlussabrechnungspreis am Ende des Handelstages beträgt 147,42 im Euro-BUND-Future und 126,54 im Euro-BOBL-Future. Wie hoch ist die Netto-Variation Margin, die sich aus dieser Position ergibt?</t>
  </si>
  <si>
    <t>EUR -300,00</t>
  </si>
  <si>
    <t>EUR 0,00</t>
  </si>
  <si>
    <t>Bei einem konstanten DAX-Indexstand steigt der Wert einer DAX-Call-Option um 10,0. Der relevante Zinssatz beträgt 10 Prozent p.a. Nach der Put-Call-Parität muss der Wert der entsprechenden Put-Option um 10,0 fallen.</t>
  </si>
  <si>
    <t>Der Trick dabei ist zu erkennen, dass sich, wenn wir die Gleichung C - Put = IN - E/(1+r/n) betrachten, auf der rechten Seite nichts ändert. Der Call steigt um 10,0; damit C - Put konstant bleibt, muss auch der Put um 10,0 steigen.</t>
  </si>
  <si>
    <t>Welche Markterwartungen werden mit dem Verkauf von Put-Optionen auf den DAX-Index ausgedrückt?</t>
  </si>
  <si>
    <t xml:space="preserve">Niedrigere implizite Volatilität </t>
  </si>
  <si>
    <t>Höhere implizite Volatilität</t>
  </si>
  <si>
    <t xml:space="preserve">Fallende Indexstände </t>
  </si>
  <si>
    <t>Je höher die Volatilität, desto höher der Optionspreis. Je niedriger die Volatilität, desto niedriger der Optionspreis. Wenn Sie den Put verkauft haben, haben Sie einen niedrigeren Optionspreis und damit eine niedrigere Volatilität erwartet.</t>
  </si>
  <si>
    <t>Der aktuelle Kassamarktpreis eines Basiswerts beträgt EUR 1.000,00. Die Volatilität des Underlyings beträgt 25%. Wo liegen die Grenzen des Bereichs, in dem sich der Kassakurs in einem Jahr mit einer Wahrscheinlichkeit von etwa 68% befinden wird?</t>
  </si>
  <si>
    <t>EUR 250,00 und EUR 1.750,00</t>
  </si>
  <si>
    <t>EUR 750,00 und EUR 1.250,00</t>
  </si>
  <si>
    <t>EUR 900,00 und EUR 1.100,00</t>
  </si>
  <si>
    <t>EUR 975,00 und EUR 1.025,00</t>
  </si>
  <si>
    <t>Es besteht eine 68%ige Chance, dass der Basiswert innerhalb einer bestimmten Bandbreite des aktuellen Kurses bleibt, ausgedrückt durch die Volatilität. Daher 0,25 x 1.000,00 = 250,00. Das sind 250,00 über UND unter dem heutigen Kurs, oder: EUR 750,00 - EUR 1.250,00.</t>
  </si>
  <si>
    <t>Wie lautet die spezifische Bezeichnung für die Standardabweichung der in der Vergangenheit gemessenen Preisänderungen eines Basiswertes?</t>
  </si>
  <si>
    <t>Implizite Volatilität</t>
  </si>
  <si>
    <t>Theoretische Volatilität</t>
  </si>
  <si>
    <t>Historische Volatilität</t>
  </si>
  <si>
    <t>Es gibt keinen spezifischen Begriff</t>
  </si>
  <si>
    <t>Die historische Volatilität basiert auf historischen Daten und stellt die Standardabweichung der täglichen Renditen des zugrunde liegenden Instruments dar.</t>
  </si>
  <si>
    <t>Welche Annahmen werden im Black-Scholes-Modell getroffen?</t>
  </si>
  <si>
    <t>Lognormalverteilung der Preise des zugrunde liegenden Instruments</t>
  </si>
  <si>
    <t>Konstante Zinssätze</t>
  </si>
  <si>
    <t>Normalverteilung der kontinuierlichen Renditen des Basiswerts</t>
  </si>
  <si>
    <t>Futures- und Optionspreise bewegen sich parallel</t>
  </si>
  <si>
    <t>Futures und Optionen bewegen sich nicht unbedingt parallel.</t>
  </si>
  <si>
    <t>Wie hoch ist der Wert der Dividenden, die während der Laufzeit der Option ausgeschüttet werden, wie im ursprünglichen Black-Scholes-Modell angenommen?</t>
  </si>
  <si>
    <t>10 Prozent</t>
  </si>
  <si>
    <t>2 Prozent</t>
  </si>
  <si>
    <t>Das Black-Scholes-Modell nimmt an, dass es keine ausgeschütteten Dividenden gibt. Denken Sie daran, dass dieses Modell am besten für Optionen europäischen Stils auf nicht dividendenzahlende Aktien geeignet ist.</t>
  </si>
  <si>
    <t>Eine Put-Option mit einem höheren Ausübungspreis, verglichen mit einer ansonsten identischen Put-Option, hat niemals einen niedrigeren Marktpreis.</t>
  </si>
  <si>
    <t>Wenn es sich um eine In-the-money-Option handelt, bedeutet ein höherer Ausübungspreis einen größeren intrinsischen Wert. Wenn es sich um eine aus-dem-Geld-Option handelt, hat sie eine größere Chance, im Geld zu sein; deshalb würde sie niemals zu einem niedrigeren Preis verkauft werden.</t>
  </si>
  <si>
    <t>Call-Optionen haben einen intrinsischen Wert, wenn der Ausübungspreis der Option niedriger ist als der Preis des zugrunde liegenden Instruments.</t>
  </si>
  <si>
    <t>Kaufoptionen haben immer dann einen inneren Wert, wenn der Ausübungspreis unter dem Marktpreis liegt. Denken Sie daran, dass es nie einen negativen inneren Wert gibt - nur einen positiven oder null.</t>
  </si>
  <si>
    <t>Das Delta einer Kaufoption ist 0.65 bei einem Kassamarktpreis für das zugrunde liegende Instrument von 100. Das Delta der gleichen Kaufoption, bei einem Kassamarktpreis von 105, ist 0,8. Was ist der durchschnittliche Gamma-Wert?</t>
  </si>
  <si>
    <t>Gamma ist die Änderungsrate des Deltas pro gegebener 1-Punkt-Bewegung im Underlying. Im Beispiel gibt es 5 Punkte Marktbewegung im Underlying. Das Delta ging von 0,65 auf 0,80 oder insgesamt 15 Punkte. Daher (.80-.65)/5=0.03.</t>
  </si>
  <si>
    <t>0.01</t>
  </si>
  <si>
    <t>0.03</t>
  </si>
  <si>
    <t>0.3</t>
  </si>
  <si>
    <t>1.0</t>
  </si>
  <si>
    <t>Unter welchen Umständen nimmt das Delta einer Long-Call-Position immer zu?</t>
  </si>
  <si>
    <t>Steigender Kurs des Basiswerts</t>
  </si>
  <si>
    <t>Verringerung der Volatilität</t>
  </si>
  <si>
    <t>Erhöhung der Laufzeit der Option</t>
  </si>
  <si>
    <t>Erhöhung des Ausübungspreises</t>
  </si>
  <si>
    <t>Das Delta eines Calls bewegt sich immer in Richtung 1 (steigt), wenn der Kurs des Basiswerts steigt. Das Delta eines Long-Puts steigt ebenfalls (wird weniger negativ), wenn es sich gegen 0 bewegt.</t>
  </si>
  <si>
    <t>Ein Long-Call auf ABC-Aktien ist durch ein positives Theta gekennzeichnet.</t>
  </si>
  <si>
    <t>Theta, das den zeitlichen Verfall einer Option darstellt, ist für Long-Optionen (Calls und Puts) negativ und für Short-Optionen positiv.</t>
  </si>
  <si>
    <t>Ein Investor sichert seine Position in ABC-Aktien mit einem Marktwert von EUR 13.680.000 durch einen Delta-Hedge ab. Die zu diesem Zweck eingesetzte ATM-Put-Option mit einer Kontraktgröße von 100 Aktien und einem Ausübungspreis von EUR 380 notiert bei EUR 12,80. Wie hoch ist das Delta der verwendeten Put-Option, wenn 750 Put-Optionen gekauft werden müssen, um einen deltaneutralen Hedge zu bilden?</t>
  </si>
  <si>
    <t>0.49</t>
  </si>
  <si>
    <t>Anzahl der Aktien = Gesamtmarktwert / Marktpreis = EUR 13.680.000 / EUR 380 = 36,000 (Kontraktgröße = 100 Aktien) --&gt; 750 = 36.000 * (-1/ delta) * (1/ 100)  --&gt; Delta * 75.000 = - 36.000 --&gt; Delta = - 0,48 (negatives Delta bei Long-Puts)</t>
  </si>
  <si>
    <t>- 0.48</t>
  </si>
  <si>
    <t>- 0.51</t>
  </si>
  <si>
    <t>- 0.50</t>
  </si>
  <si>
    <t>Kombinationsposition</t>
  </si>
  <si>
    <t>Synthetischer Long Call</t>
  </si>
  <si>
    <t>Synthetischer Long Put</t>
  </si>
  <si>
    <t>Synthetischer Short Call</t>
  </si>
  <si>
    <t>Welche Bezeichnung trägt die folgende Position: Short Aktie/Short Put?</t>
  </si>
  <si>
    <t>Welche Position(en) hat (haben) das höchste Marktrisiko?</t>
  </si>
  <si>
    <t>Conversion</t>
  </si>
  <si>
    <t>Reversal</t>
  </si>
  <si>
    <t>Butterfly</t>
  </si>
  <si>
    <t>Box</t>
  </si>
  <si>
    <t>Ein Verkäufer von drei Put-Optionen auf die Aktie ABC (Kontraktgröße 100) bezieht 300 Aktien, wenn diese Put-Optionen ausgeübt werden.</t>
  </si>
  <si>
    <t>Der Verkäufer einer Index-Call-Option hat die potentielle Verpflichtung, den Basiswert anzunehmen und den Ausübungspreis zu zahlen.</t>
  </si>
  <si>
    <t>Der Verkäufer einer Aktienoption übernimmt die potentielle Verpflichtung, den Basiswert gegen Erhalt oder Zahlung des Ausübungspreises zu liefern oder anzunehmen.</t>
  </si>
  <si>
    <t>Der maximale Verlust pro Kontrakt (Kontaktgröße 100) am Verfalltag beim Kauf einer Call- Aktienoption mit einem Ausübungspreis von EUR 450,00 und einer Quotierung von 5,00-6,00 beträgt für einen Anleger EUR 500.00 (ohne Berücksichtigung von Gebühren).</t>
  </si>
  <si>
    <t>Die Grafik zeigt das Gewinn-/Verlustdiagramm eines Long Put: ---\</t>
  </si>
  <si>
    <t>Das ist ein Short Call</t>
  </si>
  <si>
    <t>Bei der theoretischen Berechnung des Delta-Hedge ergeben sich in den meisten Fällen keine ganzzahligen Hedge-Ratios. Infolgedessen muss in der Praxis häufig ein über- oder untersicherter Rest akzeptiert werden.</t>
  </si>
  <si>
    <t>Das Black-Scholes-Modell ist vor allen Dingen zur Bewertung von europäischen Optionen geeignet.</t>
  </si>
  <si>
    <t>Für die Bewertung von amerikanischen Optionen ist das Binomialmodell besonders geeignet.</t>
  </si>
  <si>
    <t>Das Vega einer Option sagt aus, wie sich der theoretische Wert einer Option ändert, wenn die implizite Volatilität der Option sich um einen Prozentpunkt verändert.</t>
  </si>
  <si>
    <t>Bei der Bewertung von Euro-BUND-Future-Optionen spielt der Zinssatz für die Laufzeit der Option keine Rolle.</t>
  </si>
  <si>
    <t>Eine Folgerung aus der Put-Call-Parität ist, dass Erwartungen auf steigende Kurse zu steigenden Call- und fallenden Put-Preisen führen.</t>
  </si>
  <si>
    <t>Die Kombination aus einer Short Position in Aktien und einem Long Call entspricht einem synthetischen Long Put.</t>
  </si>
  <si>
    <t>Der Kauf eines Floors sichert eine aktivische variable Zinsposition ab.</t>
  </si>
  <si>
    <t>Flex-Options ermöglichen in einem gesonderten Orderbuch eine individuelle Anpassung der Kontraktspezifikationen.</t>
  </si>
  <si>
    <t>Klassische Knock-out-Barrier-Optionen (Calls) verfallen, wenn ein bestimmter Preis unterhalb des aktuellen Preisniveaus erreicht wird.</t>
  </si>
  <si>
    <t>Der Multiplikator der Eurex DAX-Option entspricht EUR 10,00.</t>
  </si>
  <si>
    <t>Eurex DAX-Optionen sind Future-Style-Optionen.</t>
  </si>
  <si>
    <t>In welchen Situationen scheint ein Reversal für den Arbitrageur gewinnbringend?</t>
  </si>
  <si>
    <t>Basiswert relativ überbewertet</t>
  </si>
  <si>
    <t>Call-Option relativ unterbewertet</t>
  </si>
  <si>
    <t>Ein Investor verkauft eine Put-Aktienoption (Kontraktgröße 100) mit einem Ausübungspreis von EUR 200 und einer Quotierung von 33,00-35,00. Bei welchem Schlusskurs des Basiswertes am Verfalltag wird der Breakeven-Punkt erreicht (ohne Berücksichtigung von Gebühren)?</t>
  </si>
  <si>
    <t>EUR 165,00</t>
  </si>
  <si>
    <t>EUR 167,00</t>
  </si>
  <si>
    <t>Ein Investor verkauft Put-Aktienoptionen (Kontraktgröße 100) mit einem Ausübungspreis von EUR 200 bei einem quotierten Marktpreis von 10,00-12,00. Am Verfalltag liegt der Schlusskurs des Basiswertes bei 196 und der Gewinn der gesamten Position beträgt EUR 9.000,00. Wie hoch ist die Anzahl der verkauften Put-Optionen?</t>
  </si>
  <si>
    <t>5</t>
  </si>
  <si>
    <t>10</t>
  </si>
  <si>
    <t>15</t>
  </si>
  <si>
    <t>20</t>
  </si>
  <si>
    <t>Ein Kreditnehmer mit variabler Zinsvereinbarung möchte sich gegen steigende Zinsen absichern, aber die Kosten auf ein Minimum reduzieren. Er überlegt, eine Collar-Position einzugehen.</t>
  </si>
  <si>
    <t>Er verkauft einen Cap und kauft gleichzeitig einen Floor.</t>
  </si>
  <si>
    <t>Er kauft einen Cap und verkauft gleichzeitig einen Cap mit höherem Ausübungspreis.</t>
  </si>
  <si>
    <t>Welcher Tag ist in der Regel der Erfüllungstag für die Eurex DAX-Option?</t>
  </si>
  <si>
    <t>10. Kalendertag des Liefermonats</t>
  </si>
  <si>
    <t>15. Kalendertag des Liefermonats</t>
  </si>
  <si>
    <t>Die Ausübungspreise für Put-Optionen mit identischen Laufzeiten auf die Aktie ABC sind: 450, 475 und 500. Welche Put-Option (Ausübungspreis) hat den niedrigsten Marktwert?</t>
  </si>
  <si>
    <t>450 Put</t>
  </si>
  <si>
    <t>475 Put</t>
  </si>
  <si>
    <t>Welcher Steuersatz (in Prozent) wird im Black-Scholes-Modell angenommen?</t>
  </si>
  <si>
    <t>0%</t>
  </si>
  <si>
    <t>10%</t>
  </si>
  <si>
    <t>Der Wert welcher Optionen wird erhöht, wenn eine Erhöhung der Dividenden (unter Vernachlässigung einer potenziellen Körperschaftssteuergutschrift) bzw. Ausschüttungen während der Laufzeit der Optionen erfolgt?</t>
  </si>
  <si>
    <t>Call-Aktienoptionen</t>
  </si>
  <si>
    <t>DAX-Put-Optionen</t>
  </si>
  <si>
    <t>Optionen auf einen Future (Eurex Euro-BUND-Future-Optionen) haben eine Restlaufzeit von sechs Monaten. Der relevante Zinssatz beträgt 10 Prozent p.a., der implizite Future-Preis für die Laufzeit der Option steht bei 145,00 und der Ausübungspreis der Option ist 140,00. Eine Call-Option hat einen Wert von 12,00. Welchen Wert hat der entsprechende Put?</t>
  </si>
  <si>
    <t>6,67</t>
  </si>
  <si>
    <t>Optionen auf einen Future (Eurex Euro-BUND-Future-Optionen) haben eine Restlaufzeit von drei Monaten. Der relevante Zinssatz beträgt 10 Prozent p.a. und der implizite Future-Preis für die Laufzeit der Option steht bei 145,00. Eine Call-Option hat einen Wert von 12,00. Die entsprechende Put-Option hat einen Wert von 7,00. Welchen Wert hat der Ausübungspreis der Option?</t>
  </si>
  <si>
    <t>142,25</t>
  </si>
  <si>
    <t>145</t>
  </si>
  <si>
    <t>Welche Art von Volatilität wird zur Ermittlung von theoretischen Optionspreisen benutzt?</t>
  </si>
  <si>
    <t>Kappa</t>
  </si>
  <si>
    <t>Rho</t>
  </si>
  <si>
    <t>Bei einem Long Time Spread mit Optionen wird die Option mit der längeren Laufzeit gekauft und die Option (auf einen identischen Basiswert) mit kürzerer Laufzeit verkauft.</t>
  </si>
  <si>
    <t>Ein Bull Call Spread auf die Aktie ABC mit den Ausübungspreisen 500 und 550 hat einen Marktpreis von EUR 20,00. Der maximale Verlust pro Kontrakt einer Short-Position (Kontraktgröße 10) beträgt EUR 3.000,00 (ohne Berücksichtigung von Gebühren).</t>
  </si>
  <si>
    <t>Ein Bear Spread kann nur mit Put-Optionen aufgebaut werden.</t>
  </si>
  <si>
    <t>Ein Investor besitzt 1.000 Aktien ABC à EUR 100,00. Er kauft 20 Kontrakte 100 Put-Optionen (Kontraktgröße 100) à EUR 6,40 und verkauft 20 Kontrakte 110 Call-Optionen à EUR 6,10. Sein maximaler Gewinn am letzten Handelstag der Optionen entspricht für die gesamte Position EUR 9.900,00 (ohne Berücksichtigung von Gebühren).</t>
  </si>
  <si>
    <t>Ein Investor kauft zur Absicherung einer Aktienposition Put-Optionen mit einem Ausübungspreis von 300. Der Preis der Put-Option ist EUR 18,00 und die Aktie notiert mit EUR 295,00. Der Breakeven-Punkt wird bei Verfall der Put-Option bei einem Kassapreis von EUR 318,00 erreicht (ohne Berücksichtigung von Gebühren).</t>
  </si>
  <si>
    <t>Die Absicherung einer Position in der Aktie ABC durch den Kauf einer out-of-the-money liegenden Put-Option auf die Aktie ABC entspricht dem Kauf einer Versicherung mit Selbstbeteiligung.</t>
  </si>
  <si>
    <t>Das Ziel des Delta- und Gamma-Hedge ist es, während der Laufzeit der Option eine permanent kongruente Absicherung zu gewährleisten.</t>
  </si>
  <si>
    <t>Eine Short-Position in Aktien kann durch den Kauf von Calls auf diese Aktien zum Teil abgesichert werden.</t>
  </si>
  <si>
    <t>Ein Investor hat ein dem DAX-Index entsprechend nachgebildetes Portfolio mit einem Marktwert von EUR 25.000.000,00. Gegenwärtig notiert der DAX-Index bei 5.000 Punkten und der DAX- Future steht bei 5.100,0. Die optimale Anzahl der zu Absicherungszwecken zu kaufenden DAX- Put-Optionen mit einem Ausübungspreis von 4.900 beträgt 1.613.</t>
  </si>
  <si>
    <t>Der Gamma-Hedge bietet einen Schutz vor Änderungen des Delta-Wertes bei Optionen.</t>
  </si>
  <si>
    <t>Der maximale Gewinn eines Long Butterfly Spread wird erreicht, wenn der Kurs des Basiswertes bei Verfall mit dem Ausübungspreis der verkauften Optionen übereinstimmt.</t>
  </si>
  <si>
    <t>Ein Investor hält die folgende Position in der Aktie ABC (Kontraktgröße 100): Long zwei 200 Calls (Call-Preis: EUR 35,00), Short vier 220 Calls (Call-Preis: EUR 15,00), Long zwei 240 Calls (Call- Preis: EUR 8,00). Der maximale Verlust per Verfall beträgt EUR 2.600,00 (ohne Berücksichtigung von Gebühren).</t>
  </si>
  <si>
    <t>Ein Long Straddle ist geeignet, um von hoher Volatilität im Basiswert bzw. ansteigenden impliziten Volatilitäten im Optionsmarkt zu profitieren.</t>
  </si>
  <si>
    <t>Ein Investor verkauft Calls gegen seine Aktien in einem Verhältnis von 2:1. Seine Position ist äquivalent zu einem synthetischen Short Straddle.</t>
  </si>
  <si>
    <t>Ein Investor kauft zu seiner bestehenden Aktienposition von 500 Aktien 5 Put Optionen auf diese Aktien mit identischem Basispreis (at-the-money, Kontraktgröße 100). Seine resultierende Position ist äquivalent zu einer Long Call Position.</t>
  </si>
  <si>
    <t>Ein Reversal besteht aus einer Short-Position im Basiswert und einer Long Call-/Short Put- Optionsposition mit identischen Ausübungspreisen und Laufzeiten.</t>
  </si>
  <si>
    <t>Der Wert einer Box-Position entspricht dem aufgezinsten Wert der Ausübungspreisdifferenz.</t>
  </si>
  <si>
    <t>Ein Anleger erwartet bei leicht fallendem Marktniveau eine gleich bleibende Volatilität im DAX- Index. Mit welcher Handelsstrategie kann er von seiner Erwartung profitieren?</t>
  </si>
  <si>
    <t>Kombination aus Long Put-Option und Short Call-Option auf DAX</t>
  </si>
  <si>
    <t>Long DAX-Put-Option</t>
  </si>
  <si>
    <t>Welche der folgenden Positionen erhöht das Delta der Gesamtposition?</t>
  </si>
  <si>
    <t>Long Call</t>
  </si>
  <si>
    <t>Short Call</t>
  </si>
  <si>
    <t>Ein Anleger erwartet bei leicht steigendem Marktniveau eine gleichbleibende Volatilität im Euro STOXX 50-Index. Mit welcher Handelsstrategie kann er von seiner Erwartung profitieren?</t>
  </si>
  <si>
    <t>Ein Investor möchte seinen Bestand von 10.000 ABC-Aktien mittels eines Delta-Hedge auf dem aktuellen Kursniveau der ABC-Aktie von EUR 440,00 absichern. Die 440 Put-Option wird mit EUR 12,00 angeboten; der Delta-Wert der Put-Option beträgt -0,5. Wie viele Put-Optionen (Kontraktgröße 100) müssen gekauft werden?</t>
  </si>
  <si>
    <t>Long Aktie (aus Euro STOXX 50-Index)</t>
  </si>
  <si>
    <t>Long Euro STOXX 50-Put-Option</t>
  </si>
  <si>
    <t>400</t>
  </si>
  <si>
    <t>1000</t>
  </si>
  <si>
    <t>200</t>
  </si>
  <si>
    <t>Ein Investor verfügt über 30.000 ABC-Aktien, die mittels eines Delta-Hedge abgesichert werden. Der Delta-Wert der Put-Option (Kontraktgröße 100,00) beträgt in der Ausgangssituation -0,375. Nach einem Aktienkursanstieg liegt das Put-Delta bei -0,15. Wie viele Put-Optionen müssen im Vergleich zur Ausgangssituation zusätzlich gekauft werden, um eine deltaneutrale Position zu gewährleisten?</t>
  </si>
  <si>
    <t>Ein Marktteilnehmer hat eine Short-Position in Höhe von 100 ABC-Aktien, aktueller Preis EUR 53 pro Aktie. Der Investor verkauft Puts auf diese Position mit Ausübungspreis EUR 50 zu EUR 3 pro Aktie. Wie hoch ist der maximale Gewinn des Investors im Falle einer Ausübung für seine gesamte Position?</t>
  </si>
  <si>
    <t>533</t>
  </si>
  <si>
    <t>2.000</t>
  </si>
  <si>
    <t>keine</t>
  </si>
  <si>
    <t>300</t>
  </si>
  <si>
    <t>600</t>
  </si>
  <si>
    <t>900</t>
  </si>
  <si>
    <t>Woraus ergibt sich der maximale Verlust einer Bull Put Spread-Position?</t>
  </si>
  <si>
    <t>Eingenommene Prämie</t>
  </si>
  <si>
    <t>Gezahlte Prämie</t>
  </si>
  <si>
    <t>Eine Put-Option (Kontraktgröße 100) mit einem Ausübungspreis von 100 hat einen Marktpreis von EUR 10,00. Eine Put-Option (Kontraktgröße 100) mit einem Ausübungspreis von 110 hat einen Marktpreis von EUR 17,00. Mit welcher Prämienzahlung oder -einnahme pro Kontrakt ist ein Bear Put Spread verbunden?</t>
  </si>
  <si>
    <t>Prämieneinnahme von EUR 700,00</t>
  </si>
  <si>
    <t>Prämieneinnahme von EUR 1.000,00</t>
  </si>
  <si>
    <t>Ein Anleger sieht folgende Preise im Markt: Euro-BUND-Future MAR 148,02 - 148,03; Euro-BUND- Future-Call-Option MAR 148.00 1,13-1,15; Euro-BUND-Future-Put-Option MAR 148.00 1,19-1,21. Welche Arbitragestrategie erscheint bei diesen Preisen Erfolg versprechend (ohne Berücksichtigung von Gebühren)?</t>
  </si>
  <si>
    <t>Long Box</t>
  </si>
  <si>
    <t>Welche der folgenden Transaktionen ist synthetisch äquivalent zu einer Conversion?</t>
  </si>
  <si>
    <t>Kauf einer Nullkupon-Anleihe</t>
  </si>
  <si>
    <t>Leerverkauf einer Nullkupon-Anleihe</t>
  </si>
  <si>
    <t>Ein Anleger sieht folgende Preise im Markt: Euro-BUND-Future MAR 108,02 - 108,03; Euro-BUND- Future-Call-Option MAR 108.00 1,13-1,15; Euro-BUND-Future-Put-Option MAR 108.00 1,19-1,21. Welche Arbitragestrategie erscheint bei diesen Preisen Erfolg versprechend (ohne Berücksichtigung von Gebühren)?</t>
  </si>
  <si>
    <t>Welche der folgenden Transaktionen ist synthetisch äquivalent zu einer Kreditaufnahme?</t>
  </si>
  <si>
    <t>Welche Position hält ein Anleger, der folgende Transaktionen getätigt hat: Kauf 10 DAX Sep 11.000,0 Puts, Verkauf 20 DAX Sep 11.100,0 Puts und Kauf 10 DAX Sep 11.200,0 Puts?</t>
  </si>
  <si>
    <t>Long Butterfly</t>
  </si>
  <si>
    <t>Short Butterfly</t>
  </si>
  <si>
    <t>Welche Breakeven-Punkte besitzt ein 180-200-220 Long Butterfly Spread mit Calls mit einer zu zahlenden Nettoprämie von CHF 5,00 (ohne Berücksichtigung von Gebühren)?</t>
  </si>
  <si>
    <t>CHF 175,00 und CHF 225,00</t>
  </si>
  <si>
    <t>CHF 195,00 und CHF 205,00</t>
  </si>
  <si>
    <t>Ein Investor nimmt eine Long-Position in Eurex Euro-BOBL-Future-Calls bei einer Notierung von 5,45 - 5,60 ein und schließt die Position bei einer Notierung von 6,15 - 6,25. Wie ist das Ergebnis pro Kontrakt (ohne Berücksichtigung von Gebühren)?</t>
  </si>
  <si>
    <t>EUR 800,00</t>
  </si>
  <si>
    <t>EUR 550,00</t>
  </si>
  <si>
    <t>Eine Eurex DAX-Put-Option mit einem Ausübungspreis von 12.000,0 wird bei einem Indexstand von 11.500 zu 485,0 gehandelt. Wie hoch ist der Zeitwert der Put-Option?</t>
  </si>
  <si>
    <t>- 15</t>
  </si>
  <si>
    <t>85</t>
  </si>
  <si>
    <t>0</t>
  </si>
  <si>
    <t>Ein Basiswert, der keine Ausschüttungen vornimmt, hat einen Marktpreis von EUR 450,00. Der Zinssatz beträgt 10 Prozent. Eine europäische Call-Option mit dem Ausübungspreis EUR 500 und einer Laufzeit von einem Jahr hat einen Preis von EUR 25,00. Was ist der theoretische Preis der ansonsten identischen (europäischen) Put-Option (auf zwei Dezimalstellen gerundet)?</t>
  </si>
  <si>
    <t>EUR 1,19</t>
  </si>
  <si>
    <t>EUR 25,00</t>
  </si>
  <si>
    <t>Was ist der theoretische Wert einer EUR 500-550 (europäischen) Box-Position mit einer Laufzeit von einem Jahr und einem Zinssatz von 10 Prozent (auf zwei Dezimalstellen gerundet)?</t>
  </si>
  <si>
    <t>EUR 40,00</t>
  </si>
  <si>
    <t>EUR 50,00</t>
  </si>
  <si>
    <t>Welchen Breakeven-Punkt hat ein EUR 100-110 Bull Put Spread mit einer Nettoprämie von EUR 6,00?</t>
  </si>
  <si>
    <t>EUR 94,00</t>
  </si>
  <si>
    <t>EUR 104,00</t>
  </si>
  <si>
    <t>Ein Investor sichert seinen Bestand an ABC-Aktien durch den Kauf einer 200 Put-Option und den simultanen Verkauf eines 220 Call ab. Der Kassapreis der Aktie liegt bei EUR 205,00. Die Prämie für die Put-Option beträgt EUR 15,00, die Prämie für den Call EUR 5,00. Bei welchem Kassapreis wird am letzten Handelstag der Breakeven-Punkt erreicht (ohne Berücksichtigung von Gebühren)?</t>
  </si>
  <si>
    <t>EUR 185,00</t>
  </si>
  <si>
    <t>EUR 215,00</t>
  </si>
  <si>
    <t>Ein Investor nimmt für einen 200-220-240 Put-Butterfly-Spread auf die Aktie ABC Aktie ABC (Kontraktgröße 100) eine Nettoprämie von EUR 700,00 pro Kontrakt ein. Wie hoch ist der maximale Verlust pro Kontrakt am letzten Handelstag (ohne Berücksichtigung von Gebühren)?</t>
  </si>
  <si>
    <t>EUR 1.300,00</t>
  </si>
  <si>
    <t>EUR 700,00</t>
  </si>
  <si>
    <t>Welchen maximalen Verlust pro Kontrakt realisiert ein 400-440 Bull Put Spread auf die Aktie ABC (Kontraktgröße 100) bei einer Nettoprämie von EUR 2100,00 pro Kontrakt am letzten Handelstag (ohne Berücksichtigung von Gebühren)?</t>
  </si>
  <si>
    <t>EUR 21.000,00</t>
  </si>
  <si>
    <t>EUR 4.000,00</t>
  </si>
  <si>
    <t>Eine Put-Option (Kontraktgröße 100) mit einem Ausübungspreis von 100 hat einen Marktpreis von EUR 10,00. Eine Put-Option (Kontraktgröße 100) mit einem Ausübungspreis von 110 hat einen Marktpreis von EUR 17,00. Mit welcher Prämienzahlung oder -einnahme pro Kontrakt ist ein Bull Put Spread verbunden?</t>
  </si>
  <si>
    <t>Prämienzahlung von EUR 1700,00</t>
  </si>
  <si>
    <t>Prämieneinnahme von EUR 1000,00</t>
  </si>
  <si>
    <t>Ein Investor verfügt über einen Bestand an ABC-Aktien mit einem Marktwert von EUR 5.880.000,00, der auf dem aktuellen Kursniveau mittels eines Delta-Hedge abgesichert werden soll. Die entsprechende am Geld liegende 280 Put-Option (Kontraktgröße 100) weist einen Delta- Wert von -0,5 auf und wird mit EUR 10,00 notiert. Wie hoch ist der prozentuale Kostenaufwand dieser Absicherung in der Ausgangssituation (auf zwei Dezimalstellen gerundet; ohne Berücksichtigung von Gebühren)?</t>
  </si>
  <si>
    <t>0,71 Prozent</t>
  </si>
  <si>
    <t>0,72 Prozent</t>
  </si>
  <si>
    <t>Ein Investor sichert seine ABC-Aktien durch den Verkauf einer 110 Call-Option teilweise ab. Das Verhältnis von Aktien zu Call-Optionen entspricht 2:1. Der Kassapreis der Aktie liegt bei EUR 101,00 und der Preis für die Call-Option beträgt EUR 12,00. Bei welchem Kassapreis wird am Verfalltag der Breakeven-Punkt erreicht (ohne Berücksichtigung von Gebühren)?</t>
  </si>
  <si>
    <t>EUR 77,00</t>
  </si>
  <si>
    <t>EUR 95,00</t>
  </si>
  <si>
    <t>EUR 98,00</t>
  </si>
  <si>
    <t>7,14 Prozent</t>
  </si>
  <si>
    <t>EUR 29,55</t>
  </si>
  <si>
    <t>EUR 45,00</t>
  </si>
  <si>
    <t>EUR 114,00</t>
  </si>
  <si>
    <t>EUR 225,00</t>
  </si>
  <si>
    <t>EUR 2.100,00</t>
  </si>
  <si>
    <t>Prämienzahlung von EUR 700,00</t>
  </si>
  <si>
    <t>den Verkauf eines Futures mit kürzerer Laufzeit auf einen identischen Basiswert.</t>
  </si>
  <si>
    <t>Keine Übereinstimmung zwischen abzusicherndem Basiswert und dem Absicherungsinstrument</t>
  </si>
  <si>
    <t>Die Anleihe mit der niedrigsten Implied Repo Rate.</t>
  </si>
  <si>
    <t>Basispunktwert</t>
  </si>
  <si>
    <t>Konstante Finanzierungszinssätze für die Laufzeit der Future-Kontrakte</t>
  </si>
  <si>
    <t>Neutrale Erwartungen</t>
  </si>
  <si>
    <t>Long Future Hedge</t>
  </si>
  <si>
    <t>263</t>
  </si>
  <si>
    <t>ist keine Veränderung des theoretischen Terminpreises festzustellen.</t>
  </si>
  <si>
    <t>Zwischen 6 und 7 Prozent</t>
  </si>
  <si>
    <t>17,98 Prozent</t>
  </si>
  <si>
    <t>Horizontale Kurve</t>
  </si>
  <si>
    <t>3.121,00</t>
  </si>
  <si>
    <t>EUR 345,00</t>
  </si>
  <si>
    <t>EUR 490,00</t>
  </si>
  <si>
    <t>EUR 149,55</t>
  </si>
  <si>
    <t>5,05 Prozent</t>
  </si>
  <si>
    <t>1 Prozent</t>
  </si>
  <si>
    <t>EUR 57,84</t>
  </si>
  <si>
    <t>Put-Option relativ überbewertet</t>
  </si>
  <si>
    <t>EUR 200,00</t>
  </si>
  <si>
    <t>Er kauft einen Cap und verkauft gleichzeitig einen Cap mit niedrigerem Ausübungspreis.</t>
  </si>
  <si>
    <t>Börsentag nach dem zweiten Freitag des Verfallmonats</t>
  </si>
  <si>
    <t>500 Put</t>
  </si>
  <si>
    <t>25%</t>
  </si>
  <si>
    <t>DAX-Call-Optionen</t>
  </si>
  <si>
    <t>140</t>
  </si>
  <si>
    <t>Für die Zukunft erwartete Volatilität</t>
  </si>
  <si>
    <t>Long Straddle DAX-Option</t>
  </si>
  <si>
    <t>Short Put</t>
  </si>
  <si>
    <t>Long Straddle Euro STOXX 50-Option</t>
  </si>
  <si>
    <t>333</t>
  </si>
  <si>
    <t>1.200</t>
  </si>
  <si>
    <t>Differenz in den Ausübungspreisen</t>
  </si>
  <si>
    <t>Kreditaufnahme</t>
  </si>
  <si>
    <t>Long Condor</t>
  </si>
  <si>
    <t>CHF 185,00 und CHF 215,00</t>
  </si>
  <si>
    <t>EUR 850,00</t>
  </si>
  <si>
    <t>EUR 26,19</t>
  </si>
  <si>
    <t>EUR 45,45</t>
  </si>
  <si>
    <t>EUR 106,00</t>
  </si>
  <si>
    <t>EUR 205,00</t>
  </si>
  <si>
    <t>EUR 2.000,00</t>
  </si>
  <si>
    <t>EUR 1.900,00</t>
  </si>
  <si>
    <t>7,24 Prozent</t>
  </si>
  <si>
    <t>EUR 86,00</t>
  </si>
  <si>
    <t>Relativ hohe Transaktionskosten aufgrund der individuellen Kontrakte.</t>
  </si>
  <si>
    <t>Hedging</t>
  </si>
  <si>
    <t>Hohe Volatilität des Basiswertes</t>
  </si>
  <si>
    <t>Erhöhung des Zinssatzes für die Laufzeit des Future-Kontraktes</t>
  </si>
  <si>
    <t>abgeschwächt (weakening).</t>
  </si>
  <si>
    <t>Gebühren für das Kassa- bzw. das Future-Geschäft</t>
  </si>
  <si>
    <t>Long Kassa/Long Future/Long Geldmarkt</t>
  </si>
  <si>
    <t>Eröffnungspreis</t>
  </si>
  <si>
    <t>Es kann keine Aussage über die Art der Investoren getroffen werden</t>
  </si>
  <si>
    <t>Das ist abhängig vom Marktzinsniveau</t>
  </si>
  <si>
    <t>Position kann nicht synthetisch aufgebaut werden</t>
  </si>
  <si>
    <t>Die Basis hat sich verringert (Narrowing) und dabei verstärkt. Dies ist gut für einen Hedger, der einen Short Hedge durchführt.</t>
  </si>
  <si>
    <t>Lagerhaltungskosten sind größer als die Versicherungskosten</t>
  </si>
  <si>
    <t>Margin bei Fälligkeit des Kontraktes / Additional Margin</t>
  </si>
  <si>
    <t>Für diesen Quotienten besteht keine Bezeichnung</t>
  </si>
  <si>
    <t>Sie verkaufen nur die Kasse.</t>
  </si>
  <si>
    <t>96,505 - 96,530</t>
  </si>
  <si>
    <t>Das Ungleichgewicht zwischen Euro Stoxx 50- und Euro-BUND-Futures</t>
  </si>
  <si>
    <t>Ein Händler kann bei Erwartung fallender Zinsen FRAs kaufen, wenn er der Meinung ist, dass der Zins zum Zeitpunkt der zukünftigen Zinsfeststellung unterhalb des im FRA vereinbarten Zinssatzes liegen wird.</t>
  </si>
  <si>
    <t>empfängt den festen Zinssatz.</t>
  </si>
  <si>
    <t>Deutsche Schuldverschreibungen mit einer Laufzeit von 9,5 Jahren</t>
  </si>
  <si>
    <t>-30.000,00</t>
  </si>
  <si>
    <t>Drei Tage nach Ende der Zinsperiode.</t>
  </si>
  <si>
    <t>EUR - 1.900,00</t>
  </si>
  <si>
    <t>Long DAX-Call-Option</t>
  </si>
  <si>
    <t>Über 6,00 Prozent</t>
  </si>
  <si>
    <t>den Verkauf eines Futures mit längerer Laufzeit auf einen identischen Basiswert.</t>
  </si>
  <si>
    <t>Ein Cross Hedge ist immer ein perfekter Hedge</t>
  </si>
  <si>
    <t>Die Anleihe mit dem niedrigsten theoretischen Preis.</t>
  </si>
  <si>
    <t>Modified Duration</t>
  </si>
  <si>
    <t>Die Erwartungen lassen sich daraus nicht ableiten</t>
  </si>
  <si>
    <t>Nicht bestimmbar</t>
  </si>
  <si>
    <t>Short Underlying Hedge</t>
  </si>
  <si>
    <t>267</t>
  </si>
  <si>
    <t>fällt der Kassapreis.</t>
  </si>
  <si>
    <t>Mit den vorliegenden Angaben ist die implizite Rendite nicht bestimmbar</t>
  </si>
  <si>
    <t>19,59 Prozent</t>
  </si>
  <si>
    <t>2.747,00</t>
  </si>
  <si>
    <t>EUR 339,50</t>
  </si>
  <si>
    <t>EUR 505,00</t>
  </si>
  <si>
    <t>4,04 Prozent</t>
  </si>
  <si>
    <t>1,5 Prozent</t>
  </si>
  <si>
    <t>EUR - 57,84</t>
  </si>
  <si>
    <t>EUR - 150,00</t>
  </si>
  <si>
    <t>Basiswert relativ unterbewertet</t>
  </si>
  <si>
    <t>EUR 233,00</t>
  </si>
  <si>
    <t>Er kauft einen Cap und verkauft gleichzeitig einen Floor.</t>
  </si>
  <si>
    <t>Der erste Börsentag nach dem letzten Handelstag</t>
  </si>
  <si>
    <t>Kann mit den gegebenen Informationen nicht beantwortet werden</t>
  </si>
  <si>
    <t>50%</t>
  </si>
  <si>
    <t>Put-Aktienoptionen</t>
  </si>
  <si>
    <t>11,43</t>
  </si>
  <si>
    <t>147,375</t>
  </si>
  <si>
    <t>Ein gewichtetes Mittel aus historischer und zukünftig erwarteter Volatilität</t>
  </si>
  <si>
    <t>Short DAX-Future</t>
  </si>
  <si>
    <t>Long Future</t>
  </si>
  <si>
    <t>Long Euro STOXX 50-Future</t>
  </si>
  <si>
    <t>5.000</t>
  </si>
  <si>
    <t>Ausübungspreisdifferenz minus Nettoprämie</t>
  </si>
  <si>
    <t>Prämienzahlung von EUR 1.700,00</t>
  </si>
  <si>
    <t>Preise ermöglichen keinen Arbitragegewinn</t>
  </si>
  <si>
    <t>Keine dieser Transaktionen entspricht synthetisch einer Conversion</t>
  </si>
  <si>
    <t>Short Condor</t>
  </si>
  <si>
    <t>Mit diesen Angaben lassen sich die Breakeven-Punkte nicht eindeutig bestimmen.</t>
  </si>
  <si>
    <t>Währungsrisiko</t>
  </si>
  <si>
    <t>In der Mitte der abgesicherten Zinsperiode.</t>
  </si>
  <si>
    <t>Keine Regelung</t>
  </si>
  <si>
    <t>101,017 - 101,016</t>
  </si>
  <si>
    <t>Das Ungleichgewicht zwischen dem Kassa- und dem Termingeldmarkt</t>
  </si>
  <si>
    <t>Ein Händler kann bei Erwartung steigender Zinsen FRAs kaufen, wenn er der Meinung ist, dass der Zins zum Zeitpunkt der zukünftigen Zinsfeststellung oberhalb des im FRA vereinbarten Zinssatzes liegen wird.</t>
  </si>
  <si>
    <t>zahlt den festen Zinssatz.</t>
  </si>
  <si>
    <t>Deutsche Schuldverschreibungen mit einer Laufzeit von 5,5 Jahren</t>
  </si>
  <si>
    <t>30.000,00</t>
  </si>
  <si>
    <t>Veränderung der CTD-Anleihe</t>
  </si>
  <si>
    <t>Erhöhung der Ausschüttungen des Basiswertes</t>
  </si>
  <si>
    <t>verstärkt (strengthening).</t>
  </si>
  <si>
    <t>Open Interest des entsprechenden Future-Kontraktes</t>
  </si>
  <si>
    <t>Long Kassa/Short Future/Short Geldmarkt</t>
  </si>
  <si>
    <t>Abrechnungspreis</t>
  </si>
  <si>
    <t>Spekulanten</t>
  </si>
  <si>
    <t>Arbitrage von Future verschiedener Laufzeit</t>
  </si>
  <si>
    <t>Gleich</t>
  </si>
  <si>
    <t>Geldanlage mit Laufzeit von einem Jahr und Geldaufnahme mit Laufzeit von zwei Jahren</t>
  </si>
  <si>
    <t>Die Basis hat sich ausgeweitet (Widening) und dabei abgeschwächt. Dies ist positiv für einen Hedger, der einen Short Hedge durchführt.</t>
  </si>
  <si>
    <t>Erlöse sind geringer als die Lagerhaltungskosten</t>
  </si>
  <si>
    <t>Gewinn (Verlust) der Future-Position / Initial Margin</t>
  </si>
  <si>
    <t>Hebel</t>
  </si>
  <si>
    <t>Sie kaufen nur den Future.</t>
  </si>
  <si>
    <t>Liquidität kann begrenzt sein.</t>
  </si>
  <si>
    <t>Margins</t>
  </si>
  <si>
    <t>Die Duration einer verzinslichen Anleihe ist höher, je niedriger die Anleiherendite ist.</t>
  </si>
  <si>
    <t>Anstieg der Marktrendite führt zum Absinken der Duration</t>
  </si>
  <si>
    <t>Sinkende Zinssätze für T</t>
  </si>
  <si>
    <t>Ein Investor besitzt 13.000 ABC-Aktien, deren aktueller Kurs bei EUR 240,00 liegt und die mittels eines Delta-Hedge abgesichert werden. In der Ausgangssituation beträgt der Delta-Wert der Put- Option (Kontraktgröße 100) -0,4; die Put-Option notiert bei EUR 9,50. Nach einem Aktienkursanstieg beträgt der Put-Preis EUR 7,00 und der Delta-Wert des Put -0,25. Wie hoch ist der zusätzliche absolute Kapitalaufwand, wenn weiterhin ein deltaneutraler Hedge beibehalten werden soll (ohne Berücksichtigung von Gebühren)?</t>
  </si>
  <si>
    <t>EUR 136.500,00</t>
  </si>
  <si>
    <t>EUR 145.600,00</t>
  </si>
  <si>
    <t>EUR 185.250,00</t>
  </si>
  <si>
    <t>EUR 197.600,00</t>
  </si>
  <si>
    <t>Wie hoch ist der theoretische Preisunterschied zwischen einem 9.000-9.200 und einem 9.200- 9.000 Strangle mit DAX-Optionen bei einer Laufzeit von sechs Monaten und einem Zinssatz von 6 Prozent p.a. (auf eine Dezimalstelle gerundet)?</t>
  </si>
  <si>
    <t>188,7</t>
  </si>
  <si>
    <t>194,2</t>
  </si>
  <si>
    <t>197</t>
  </si>
  <si>
    <t>Eine 9.000-9.500 Box-Position in DAX-Optionen mit einer Laufzeit von drei Monaten hat einen theoretischen Wert von 490. Wie hoch ist der für die Laufzeit der Optionen relevante Periodenzinssatz im Gleichgewicht (auf zwei Dezimalstellen gerundet)?</t>
  </si>
  <si>
    <t>Welche Bezeichnung trägt die folgende Position: Long Aktie/Long Put?</t>
  </si>
  <si>
    <t>0,98 Prozent</t>
  </si>
  <si>
    <t>0,51 Prozent</t>
  </si>
  <si>
    <t>8,16 Prozent</t>
  </si>
  <si>
    <t>2,04 Prozent</t>
  </si>
  <si>
    <t>Wie hoch ist der maximale Gewinn pro Kontrakt am letzten Handelstag eines 11.800-11.850 DAX Bull Put Spread mit einer Nettoprämie von 22,0 Punkten (ohne Berücksichtigung von Gebühren)?</t>
  </si>
  <si>
    <t>EUR 140,00</t>
  </si>
  <si>
    <t>EUR 110,00</t>
  </si>
  <si>
    <t>Ein Investor sichert sein diversifiziertes Aktienportfolio mittels eines Delta-Hedges mit DAX-Put- Optionen ab. Das Portfolio-Beta beträgt 1,5. Der DAX-Kassapreis liegt bei 12.000,00 und der DAX- Future-Preis bei 12.060,0. Die für den Hedge verwandte 10.800 DAX-Put-Option weist einen Delta- Wert von -0,25 auf. Wie hoch ist der Marktwert des Aktienportfolios, wenn ein deltaneutraler Hedge den Kauf von 8.000 Kontrakten dieser DAX-Put-Option erfordert?</t>
  </si>
  <si>
    <t>EUR 402.000.000,00</t>
  </si>
  <si>
    <t>EUR 400.000.000,00</t>
  </si>
  <si>
    <t>EUR 80.000.000,00</t>
  </si>
  <si>
    <t>EUR 80.400.000,00</t>
  </si>
  <si>
    <t>Ein Investor hat ein diversifiziertes Portfolio von Bundesanleihen. Der Basispunktwert der Anleihen entspricht EUR 20.000,00. Der Basispunktwert der CTD-Anleihe im Euro-BUND-Future-Kontrakt hat einen Basispunktwert von EUR 0,75 pro EUR 100,00 Nominalwert. Der Konvertierungsfaktor der CTD-Anleihe beträgt 0,7125. Wie hoch ist bei einer geplanten Absicherung die optimale Anzahl der zu verkaufenden Euro-BUND-Future-Call-Optionen?</t>
  </si>
  <si>
    <t>Ein Anleger sieht folgende Preise im Markt: Eurex Euro-BUND-Future MAR 148,02-148,03; Eurex Euro-BUND-Future-Call-Option MAR 148.00 1,13-1,15; Eurex Euro-BUND-Future-Put-Option MAR 148.00 1,19-1,21. Wie viele Ticks Gewinn kann der Anleger bei diesen Preisen mit der richtigen Arbitragestrategie erwirtschaften, wenn er jeweils nur einen Kontrakt handelt (ohne Berücksichtigung von Gebühren)?</t>
  </si>
  <si>
    <t>17 Kontrakte</t>
  </si>
  <si>
    <t>18 Kontrakte</t>
  </si>
  <si>
    <t>19 Kontrakte</t>
  </si>
  <si>
    <t>20 Kontrakte</t>
  </si>
  <si>
    <t>4 Ticks</t>
  </si>
  <si>
    <t>10 Ticks</t>
  </si>
  <si>
    <t>11 Ticks</t>
  </si>
  <si>
    <t>6 Ticks</t>
  </si>
  <si>
    <t>Ein 123,50-125,50 Bull Call Spread in Euro-BOBL-Future-Optionen mit einer Laufzeit von drei Monaten hat einen Wert von 1,18. Der für die Laufzeit der Optionen relevante Zinssatz beträgt 6 Prozent p.a. Welchen Wert hat ein 123,50-125,50 Bear Put Spread mit der gleichen Laufzeit (auf zwei Dezimalstellen gerundet)?</t>
  </si>
  <si>
    <t>1,18</t>
  </si>
  <si>
    <t>0,82</t>
  </si>
  <si>
    <t>0,71</t>
  </si>
  <si>
    <t>2</t>
  </si>
  <si>
    <t>Weiterführende Dienstleistungen wie die Verwahrung von Wertpapieren (Safekeeping) und die Verwaltung von Wertpapieren sind von der MiFID ausgeschlossen (nicht in der MiFID geregelt).</t>
  </si>
  <si>
    <t>Firmen können Retail Clients wahlweise auch als Professional Clients einstufen, wenn bestimmte qualitative und quantitative Anforderungen erfüllt sind und der Kunde schriftlich zugestimmt hat.</t>
  </si>
  <si>
    <t>Bei der Beschaffung einer Ausnahme nach CFTC Part 30, die es einer britischen Firma u.a. erlaubt, für einen US-Bürger an einer britischen Börse Geschäfte durchzuführen, müssen folgende Anforderungen erfüllt werden:</t>
  </si>
  <si>
    <t>Anerkennung US-amerikanischer Gerichtsstand</t>
  </si>
  <si>
    <t>Registrierung bei der CFTC</t>
  </si>
  <si>
    <t>Nutzung des Schiedsgerichts der NFA</t>
  </si>
  <si>
    <t>Netting aller Kundengelder der US-Kunden</t>
  </si>
  <si>
    <t>Welche beiden Aufsichtsbehörden überwachen Finanzinstitute in UK?</t>
  </si>
  <si>
    <t>PRA und FCA</t>
  </si>
  <si>
    <t>FSA und Ministry of Finance</t>
  </si>
  <si>
    <t>PRA und Bank of England</t>
  </si>
  <si>
    <t>FCA und SEC</t>
  </si>
  <si>
    <t>Eine (mögliche) Anforderung, damit ein Retail Client (im Falle von MiFID-relevanten Geschäften) als Professional Client eingestuft werden kann, ist die Größe des Kundenportfolios inklusive des Barbestands. Die Mindestgröße sollte ... betragen.</t>
  </si>
  <si>
    <t>EUR 250.000</t>
  </si>
  <si>
    <t>EUR 1.000.000</t>
  </si>
  <si>
    <t>EUR 100.000</t>
  </si>
  <si>
    <t>EUR 500.000</t>
  </si>
  <si>
    <t>Welche Aufgaben und Rechte hat die Handelsüberwachungsstelle?</t>
  </si>
  <si>
    <t>Sanktionierung von Regelverstößen</t>
  </si>
  <si>
    <t>Systematische und lückenlose Erfassung aller Daten über den Terminhandel</t>
  </si>
  <si>
    <t>Von Handelsteilnehmern Auskünfte verlangen, soweit dies zur Erfüllung ihrer Aufgaben erforderlich ist</t>
  </si>
  <si>
    <t>Zutrittsrecht während der üblichen Arbeitszeit zu den Geschäftsräumen der Handelsteilnehmer</t>
  </si>
  <si>
    <t>Welche Sanktionen kann der Sanktionsausschuss bei einem Regelverstoß verhängen?</t>
  </si>
  <si>
    <t>Ordnungsgeld für einen Börsenhändler erheben, der gegen die Crossing-Regeln verstoßen hat</t>
  </si>
  <si>
    <t>Ausschluss eines Börsenteilnehmers vom Handel für bis zu 30 Handelstage</t>
  </si>
  <si>
    <t>Widerruf einer Börsenhändlerzulassung</t>
  </si>
  <si>
    <t>Verweis an einen Börsenhändler aussprechen</t>
  </si>
  <si>
    <t>Welche Sachverhalte werden durch den Sanktionsausschuss sanktioniert?</t>
  </si>
  <si>
    <t>Ordereingaben, die geeignet sind, ein künstliches Preisniveau herbeizuführen</t>
  </si>
  <si>
    <t>Geschäfte, die auf Insiderinformationen basieren</t>
  </si>
  <si>
    <t>Wissentliche Eingabe gegenläufiger Orders durch einen Börsenhändler im fortlaufenden Handel ohne vorherigen Cross-Request</t>
  </si>
  <si>
    <t>Geschäfte, die falsche Signale für Angebot oder Nachfrage gegeben haben</t>
  </si>
  <si>
    <t>Was ist keine Aufgabe der Handelsüberwachungsstelle?</t>
  </si>
  <si>
    <t>Sanktionierung von Börsenteilnehmern bei Verstößen gegen börsenrechtliche Vorschriften</t>
  </si>
  <si>
    <t>Lückenlose Datenerfassung im Terminhandel</t>
  </si>
  <si>
    <t>Überwachung der Börsengeschäftsabwicklung</t>
  </si>
  <si>
    <t>Unterrichtung der Börsenaufsichtsbehörde, wenn ein Börsenteilnehmer börsenrechtliche Vorschriften verletzt hat</t>
  </si>
  <si>
    <t>Was darf die Handelsüberwachungsstelle im Zusammenhang mit der Erfüllung ihrer Aufgaben nicht?</t>
  </si>
  <si>
    <t>Geschäftsräume der Börsenteilnehmer betreten</t>
  </si>
  <si>
    <t>Die Vorlage von Unterlagen verlangen</t>
  </si>
  <si>
    <t>Bei Verdacht auf Insiderhandel eine Aussetzung des Handels veranlassen</t>
  </si>
  <si>
    <t>Unterrichtung der Börsengeschäftsführung, wenn der Verdacht besteht, dass ein Börsenteilnehmer börsenrechtliche Vorschriften verletzt hat</t>
  </si>
  <si>
    <t>Welche Aussage im Zusammenhang mit der Handelsüberwachungsstelle oder dem Sanktionsausschuss ist richtig?</t>
  </si>
  <si>
    <t>Die Handelsüberwachungsstelle kann einen Börsenhändler bis zu 30 Handelstage vom Handel ausschließen.</t>
  </si>
  <si>
    <t>Der Sanktionsausschuss kann einem Börsenteilnehmer die Zulassung zum Handel entziehen.</t>
  </si>
  <si>
    <t>Die Handelsüberwachungsstelle entscheidet über die Aussetzung des Handels.</t>
  </si>
  <si>
    <t>Keine Antwort ist richtig.</t>
  </si>
  <si>
    <t>Es ist verboten, Orders ohne Geschäftsabschlussabsicht in das System einzugeben.</t>
  </si>
  <si>
    <t>Orders, die nicht der gängigen Marktpraxis entsprechen, sind im Rahmen der Marktintegritätsklausel der Börsenordnung unproblematisch, die Klausel wird ausschließlich auf Geschäfte angewendet.</t>
  </si>
  <si>
    <t>Die Handelsüberwachungsstelle überprüft die Handelsstrategien und Handelsalgorithmen der Börsenteilnehmer vor ihrem Einsatz, damit der ordnungsgemäße Terminhandel nicht gefährdet wird.</t>
  </si>
  <si>
    <t>Wann kann die Börsengeschäftsführung statt einer effektiven Lieferung bei der Ausübung von Aktienoptionen einen Barausgleich anordnen?</t>
  </si>
  <si>
    <t>Zur Aufrechterhaltung geordneter Marktverhältnisse</t>
  </si>
  <si>
    <t>Bei einer zu hohen Anzahl von Optionen im Geld</t>
  </si>
  <si>
    <t>Bei einem Delisting des Basiswerts</t>
  </si>
  <si>
    <t>Bei einer vorübergehenden Handelsaussetzung des Basiswerts</t>
  </si>
  <si>
    <t>Welche Maßnahmen kann die Geschäftsführung bei einem Delisting des Basiswerts ergreifen?</t>
  </si>
  <si>
    <t>Austausch des Basiswerts bei offenen Positionen</t>
  </si>
  <si>
    <t>Barausgleich statt effektiver Lieferung</t>
  </si>
  <si>
    <t>Einstellung des Handels und vorzeitige Beendigung der betroffenen Termingeschäfte</t>
  </si>
  <si>
    <t>Offene Positionen automatisch schließen und in einem gleichwertigen Basiswert neu eröffnen</t>
  </si>
  <si>
    <t>Wann kann die Börsengeschäftsführung den Handel von Termingeschäften aussetzen?</t>
  </si>
  <si>
    <t>Wenn ein ordnungsgemäßer Terminhandel zeitweilig gefährdet ist</t>
  </si>
  <si>
    <t>Wenn ein Börsenteilnehmer technische Probleme hat</t>
  </si>
  <si>
    <t>Wenn dies zum Schutz des Publikums geboten erscheint</t>
  </si>
  <si>
    <t>Wenn die Handelsüberwachungsstelle einen Verdacht auf Insiderhandel in einem Produkt hat</t>
  </si>
  <si>
    <t>Warum gibt es Positionslimits im Handel?</t>
  </si>
  <si>
    <t>Sie bilden die Basis für die Margin-Berechnung.</t>
  </si>
  <si>
    <t>Zur Vermeidung von Lieferproblemen im Basiswert bei Kontrakten mit effektiver Lieferung</t>
  </si>
  <si>
    <t>Sie regeln den Anspruch am Ausfallfonds.</t>
  </si>
  <si>
    <t>Zur Vermeidung von volatilen Marktsituationen</t>
  </si>
  <si>
    <t>Was sind Positionslimits?</t>
  </si>
  <si>
    <t>Eine Mindestanzahl von Kontrakten in einem Produkt, die ein Börsenteilnehmer für eigene Rechnung bzw. für einen einzelnen Kunden halten muss</t>
  </si>
  <si>
    <t>Eine Höchstanzahl von Kontrakten in einem Produkt, die ein Börsenteilnehmer für eigene Rechnung bzw. für einen einzelnen Kunden halten darf</t>
  </si>
  <si>
    <t>Ein volumengewichteter Durchschnittspreis für Kontrakte in einem Produkt, die ein Börsenteilnehmer für eigene Rechnung bzw. für einen einzelnen Kunden nicht überschreiten darf.</t>
  </si>
  <si>
    <t>Welche Aussage hinsichtlich einer Überschreitung des Positionslimits ist nicht richtig?</t>
  </si>
  <si>
    <t>Es muss unverzüglich eine Positionsrückführung stattfinden, damit die Überschreitung nicht länger andauert.</t>
  </si>
  <si>
    <t>Kommt ein Börsenteilnehmer seiner Pflicht zur Positionsrückführung nicht innerhalb einer angemessenen Frist nach, kann die Geschäftsführung Maßnahmen zur Rückführung ergreifen.</t>
  </si>
  <si>
    <t>Auf Anfrage der Handelsüberwachungsstelle muss ein Börsenteilnehmer Einzelpositionen von Kunden unabhängig von einer Überschreitung des Positionslimits ausweisen.</t>
  </si>
  <si>
    <t>Für die Positionsrückführung hat ein Börsenteilnehmer bis 14:00 MEZ des nächsten Handelstages Zeit.</t>
  </si>
  <si>
    <t>Wie wird bei der Anordnung des Ausschlusses effektiver Lieferung bei Future-Kontrakten gemäß Börsenordnung verfahren?</t>
  </si>
  <si>
    <t>Die Positionen werden zum letzten gehandelten Preis vor der Anordnung glattgestellt.</t>
  </si>
  <si>
    <t>Die Rechte und Pflichten gelten mit der letzten täglichen Abrechnungszahlung als erfüllt.</t>
  </si>
  <si>
    <t>Der Eröffnungspreis des Vortages wird als Schlussabrechnungspreis herangezogen.</t>
  </si>
  <si>
    <t>Welche Aussage im Zusammenhang mit einer Aussetzung des Terminhandels ist richtig?</t>
  </si>
  <si>
    <t>Während der Aussetzung können Orders eingegeben werden.</t>
  </si>
  <si>
    <t>Es werden nur die bestehenden Quotes gelöscht.</t>
  </si>
  <si>
    <t>Alle bestehenden Orders und Quotes werden gelöscht.</t>
  </si>
  <si>
    <t>Während der Aussetzung können Orders und Quotes eingegeben werden.</t>
  </si>
  <si>
    <t>Welche Aussage im Zusammenhang mit einer Aussetzung des Terminhandels ist falsch?</t>
  </si>
  <si>
    <t>Es können keine offenen Positionen ausgeübt werden.</t>
  </si>
  <si>
    <t>Es können keine offenen Positionen glattgestellt werden.</t>
  </si>
  <si>
    <t>Der Terminhandel startet nach der Wiederaufnahme in der Handelsphase, in der die Aussetzung ausgelöst wurde.</t>
  </si>
  <si>
    <t>Was regelt die Marktintegritätsklausel?</t>
  </si>
  <si>
    <t>Anonymität des Orderbuchs</t>
  </si>
  <si>
    <t>Gleichberechtigter technischer Zugang für alle Börsenteilnehmer</t>
  </si>
  <si>
    <t>Eingabeverbot von Orders in das Handelssystem, die geeignet sind, fehlerhaft oder irreführend den Preis zu beeinflussen</t>
  </si>
  <si>
    <t>Aufgaben der Handelsüberwachungsstelle</t>
  </si>
  <si>
    <t>Welche Aussage zum Order-Transaktionsverhältnis ist falsch?</t>
  </si>
  <si>
    <t>Börsenteilnehmer sind verpflichtet, ein angemessenes Verhältnis von Eingaben von Orders zu den ausgeführten Geschäften zu gewährleisten.</t>
  </si>
  <si>
    <t>Börsenteilnehmer sind verpflichtet, ein angemessenes Verhältnis von Änderungen von Orders zu den ausgeführten Geschäften zu gewährleisten.</t>
  </si>
  <si>
    <t>Börsenteilnehmer sind verpflichtet, ein angemessenes Verhältnis von Eingaben von Quotes zu den ausgeführten Geschäften zu gewährleisten.</t>
  </si>
  <si>
    <t>Börsenteilnehmer sind verpflichtet, ein angemessenes Verhältnis von Limit zu Market Orders zu gewährleisten.</t>
  </si>
  <si>
    <t>Welche besonderen Bestimmungen gelten für algorithmisch erzeugte Orders und Quotes?</t>
  </si>
  <si>
    <t>Sie müssen im Handelssystem gekennzeichnet sein.</t>
  </si>
  <si>
    <t>Der Händler, der für die Eingabe verantwortlich ist, muss eine entsprechende Zusatzqualifikation haben.</t>
  </si>
  <si>
    <t>Sie dürfen nur im fortlaufenden Handel und nicht in Auktionen eingestellt werden.</t>
  </si>
  <si>
    <t>Sie dürfen nicht im Fast Market-Status eingestellt werden.</t>
  </si>
  <si>
    <t>Jeder Börsenteilnehmer ist verpflichtet, während sämtlicher Handelsabschnitte (ohne „erweiterte Handelsphase“) jederzeit die Anwesenheit qualifizierten Personals in seinen Handelsräumen in ausreichender Anzahl und eine telefonische Erreichbarkeit sicherzustellen.</t>
  </si>
  <si>
    <t>Die Börsengeschäftsführung trifft für jeden Börsenteilnehmer geeignete Maßnahmen zur Notfallplanung und -bewältigung.</t>
  </si>
  <si>
    <t>Für den Fall von technischen Störungen muss jeder Börsenteilnehmer einen Ansprechpartner benennen.</t>
  </si>
  <si>
    <t>Welche Möglichkeiten hat ein Börsenhändler, wenn er aufgrund eines Ausfalls seiner Frontend- Installation vorübergehend nicht mehr am Handel teilnehmen kann?</t>
  </si>
  <si>
    <t>Nutzung des "Trading-on-behalf"-Service, um neue Orders einzugeben</t>
  </si>
  <si>
    <t>Nutzung der „Mass-Deletion“-Funktion</t>
  </si>
  <si>
    <t>Nutzung einer anderen Trader-ID aus dem Unternehmen, für die dieses technische Problem nicht besteht</t>
  </si>
  <si>
    <t>Nutzung des "Trading-on-behalf"-Service, um neue Quotes einzugeben</t>
  </si>
  <si>
    <t>Welche Aussagen zum On-Exchange "Trading-on-behalf"-Verfahren sind richtig?</t>
  </si>
  <si>
    <t>Orders werden telefonisch bei Derivatives Trading Operations (Eurex Market Supervision) erteilt.</t>
  </si>
  <si>
    <t>Alle Orders müssen nach telefonischer Erteilung per E-Mail oder per Telefax bestätigt werden.</t>
  </si>
  <si>
    <t>Die mündlich erteilten Orders werden im T7 Entry Services erfasst.</t>
  </si>
  <si>
    <t>Die Legitimation für die Dateneingabe wird anhand der aktiven Benutzerkennung überprüft.</t>
  </si>
  <si>
    <t>Welche Aussagen für den Zugang zum Handelssystem sind richtig?</t>
  </si>
  <si>
    <t>Ein zugelassener Börsenhändler erhält eine persönliche Benutzerkennung.</t>
  </si>
  <si>
    <t>Mit dem Bestehen der Börsenhändlerprüfung wird automatisch ein Zugangscode für das Handelssystem vergeben.</t>
  </si>
  <si>
    <t>Die persönliche Benutzerkennung darf ausschließlich von der Person genutzt werden, der sie zugeteilt wurde.</t>
  </si>
  <si>
    <t>Börsenteilnehmer sind verpflichtet, Eurex über alle Änderungen im Zusammenhang mit den Inhabern von Benutzerkennungen zu informieren.</t>
  </si>
  <si>
    <t>Die Cross-IDs für die Self-Match-Prevention (SMP)-Funktionalität werden durch die Börse vergeben.</t>
  </si>
  <si>
    <t>Damit ein Pre-Arranged Trade keinen Regelverstoß darstellt, muss vorher immer ein Cross Request gestellt werden.</t>
  </si>
  <si>
    <t>Zwei Orders eines Börsenteilnehmers sind, wenn sie wissentlich eingegeben wurden und sich sofort ausführbar gegenüberstehen, nur zulässig, wenn einer der am Cross-Trade Beteiligten vorher einen regelkonformen Cross-Request eingegeben hat.</t>
  </si>
  <si>
    <t>Welche Aussage zu Cross-Trades im fortlaufenden Handel ist richtig?</t>
  </si>
  <si>
    <t>Sie sind zulässig, wenn keine Kenntnis über die sofort ausführbar gegenüberstehenden Orders bestand.</t>
  </si>
  <si>
    <t>Die wissentliche Eingabe sofort ausführbar gegenüberstehender Orders ist zulässig, wenn vorher ein regelkonformer Cross-Request gestellt wurde.</t>
  </si>
  <si>
    <t>Wenn ein Cross-Request gestellt wird, muss die Ordereingabe in einem bestimmten Zeitfenster erfolgen, damit ein Cross-Trade zulässig ist.</t>
  </si>
  <si>
    <t>Welche Aussage zu Pre-Arranged Trades ist richtig?</t>
  </si>
  <si>
    <t>Sie sind in jedem Fall verboten.</t>
  </si>
  <si>
    <t>Sie sind nur in der Eröffnungsauktion verboten.</t>
  </si>
  <si>
    <t>Sie sind zulässig, wenn sofort nach Abschluss ein Cross-Request gestellt wird.</t>
  </si>
  <si>
    <t>Sie sind zulässig, wenn einer der Beteiligten vor der Ordererteilung einen regelkonformen Cross-Request gestellt hat.</t>
  </si>
  <si>
    <t>Welche Funktion kann genutzt werden, um Insich-Geschäfte (Crossings) im fortlaufenden Handel zu vermeiden?</t>
  </si>
  <si>
    <t>Match Request</t>
  </si>
  <si>
    <t>Quote Request</t>
  </si>
  <si>
    <t>Self-Match-Prevention</t>
  </si>
  <si>
    <t>Bei Optionsgeschäften, die in der Eröffnungsauktion zustande gekommen sind und außerhalb der Mistrade-Range liegen, wird trotz Antrag auf Geschäftsaufhebung immer eine Preiskorrektur vorgenommen.</t>
  </si>
  <si>
    <t>Wenn ein Mindestschaden von 25.000 € entstanden ist, kann ein Antrag auf Geschäftsaufhebung bis zu 3 Stunden nach dem Geschäftsabschluss (allerdings vor Ablauf von 30 Minuten nach Beendigung der Trading-Periode des jeweiligen Produktes an dem Handelstag) gestellt werden.</t>
  </si>
  <si>
    <t>Alle Geschäftsparteien, d.h. der benachteiligte und der begünstigte Börsenteilnehmer, sind berechtigt, einen Antrag auf Geschäftsaufhebung (Mistrade-Antrag) zu stellen.</t>
  </si>
  <si>
    <t>Welche der folgenden Aussagen im Zusammenhang mit der Aufhebung von Geschäften sind richtig?</t>
  </si>
  <si>
    <t>Die Antragstellung für eine Geschäftsaufhebung muss immer innerhalb von 30 Minuten nach Geschäftsabschluss erfolgen.</t>
  </si>
  <si>
    <t>Damit die Handelsüberwachungsstelle ein Geschäft aufhebt, muss der Preis des Geschäfts um mehr als die Mistrade-Range vom Referenzpreis abweichen.</t>
  </si>
  <si>
    <t>Die Börsengeschäftsführung bestimmt die Mistrade-Ranges.</t>
  </si>
  <si>
    <t>Wenn der Mindestschaden 25.000 € übersteigt, kann ein Antrag auf Geschäftsaufhebung (Mistrade-Antrag) auch nach Ablauf von 30 Minuten seit Geschäftsabschluss gestellt werden.</t>
  </si>
  <si>
    <t>Welche der folgenden Aussagen im Zusammenhang mit der Aufhebung von Geschäften sind falsch?</t>
  </si>
  <si>
    <t>Wenn ein Optionsgeschäft, das in der Eröffnungsauktion zustande kam, betroffen ist, hat der begünstigte Börsenteilnehmer ein Wahlrecht zwischen Aufhebung und Preiskorrektur.</t>
  </si>
  <si>
    <t>Damit die Börsengeschäftsführung ein Geschäft aufhebt, muss der Preis des Geschäfts um mehr als die Mistrade-Range vom Referenzpreis abweichen.</t>
  </si>
  <si>
    <t>Der begünstigte Börsenteilnehmer hat immer ein Wahlrecht, ob ein Geschäft aufgehoben werden soll oder eine Preiskorrektur erfolgen soll.</t>
  </si>
  <si>
    <t>Alle Geschäftsbeteiligten können einen Antrag auf Geschäftsaufhebung stellen.</t>
  </si>
  <si>
    <t>Welche Angaben muss ein Antrag auf Geschäftsaufhebung enthalten?</t>
  </si>
  <si>
    <t>Zeitpunkt der Ausführung (Matching) der Order oder des Quotes</t>
  </si>
  <si>
    <t>Kontraktbezeichnung</t>
  </si>
  <si>
    <t>Preis des ausgeführten Geschäfts</t>
  </si>
  <si>
    <t>Firma des Antragsstellers und den Namen des Börsenhändlers inkl. Eurex- Benutzerkennung</t>
  </si>
  <si>
    <t>Eurex EnLight ist ein Selective Request for Quote Service, mit dem ein Börsenteilnehmer („Requester“) bei einem oder mehreren Börsenteilnehmern („Respondern“) Angebote zum Abschluss eines oder mehrerer Off-Book-Geschäfte („Eurex-EnLight-Geschäfte“) anfragen kann.</t>
  </si>
  <si>
    <t>Welche Aussage zu Off-Book-Geschäften ist richtig?</t>
  </si>
  <si>
    <t>Es gibt keine Vorgaben hinsichtlich der zulässigen Futures- und Optionskontrakten.</t>
  </si>
  <si>
    <t>Geschäfte kommen außerhalb des zentralen Orderbuchs zustande.</t>
  </si>
  <si>
    <t>Geschäfte führen zu einem Börsenpreis.</t>
  </si>
  <si>
    <t>Nach dem Geschäftsabschluss gibt es keine zeitlichen Auflagen, wann das Geschäft über den T7 Entry Service eingegeben werden muss.</t>
  </si>
  <si>
    <t>Welche Aussage gilt nicht für Eurex-EnLight-Geschäfte?</t>
  </si>
  <si>
    <t>Die Geschäftsführung legt die zulässigen Futures- und Optionskontrakte fest. Ein Requester kann verbindliche (firm) oder indikative Quotes zum Kauf oder Verkauf von Off-Book-Instrumenten von einem oder mehreren Respondern anfragen.</t>
  </si>
  <si>
    <t>Geschäfte kommen im zentralen Orderbuch zustande. Eurex-EnLight-Geschäfte werden in den täglich vom Eurex-System erzeugten Reports angezeigt und sind als Börsengeschäfte gekennzeichnet.</t>
  </si>
  <si>
    <t>Geschäfte führen zu keinem Börsenpreis. Die Bestätigung der Eurex-EnLight-Angebotsbedingungen kann ausschließlich durch die an dem Eurex-EnLight-Geschäft beteiligten Börsenteilnehmer erfolgen.</t>
  </si>
  <si>
    <t>Ein Geschäft kommt erst durch die Bestätigung der an dem Geschäft beteiligten Börsenteilnehmer zustande. Eurex-EnLight-Geschäfte können bei irrtümlicher oder unrichtiger Eingabe von der Geschäftsführung der Eurex Deutschland aufgehoben werden, wenn die entsprechenden Voraussetzungen erfüllt sind.</t>
  </si>
  <si>
    <t>Eine Bestätigung durch den annehmenden Börsenteilnehmer muss innerhalb von 15 Minuten nach der Eingabe des Auftrags durch den initiierenden Börsenteilnehmer erfolgen. Eine Bestätigung der Angebotsbedingungen muss jeweils innerhalb von 15 Minuten nach der Eingabe der Angebotsbedingungen erfolgen.</t>
  </si>
  <si>
    <t>Die Eingabe der Angebotsbedingungen (Erfassung des TES-Geschäfts) kann auch durch einen Börsenteilnehmer erfolgen, der nicht als Kontrahent in das Geschäft involviert ist.</t>
  </si>
  <si>
    <t>Die Bestätigung der Angebotsbedingungen kann nur durch die an dem Geschäft beteiligten Börsenteilnehmer erfolgen.</t>
  </si>
  <si>
    <t>Für komplexe Instrumente werden separate Orderbücher geführt.</t>
  </si>
  <si>
    <t>Im Off-Book-Trading werden Orders und Quotes automatisch zusammengeführt.</t>
  </si>
  <si>
    <t>Für einfache Instrumente (Kontrakte) eines Produktes gelten die gleichen Handelsparameter.</t>
  </si>
  <si>
    <t>Welche Aussagen sind richtig?</t>
  </si>
  <si>
    <t>Das Orderbuch im On-Book Trading ist anonym.</t>
  </si>
  <si>
    <t>Komplexe Instrumente können nur Off-Book gehandelt werden.</t>
  </si>
  <si>
    <t>Es werden nur Limit Orders unterstützt.</t>
  </si>
  <si>
    <t>Während angespannter Marktbedingungen (Stressed Market Conditions) gelten für bestimmte Parameter andere Werte.</t>
  </si>
  <si>
    <t>Welchen Instrumentstatus kann ein komplexes Instrument haben?</t>
  </si>
  <si>
    <t>Continuous</t>
  </si>
  <si>
    <t>Book</t>
  </si>
  <si>
    <t>Auction</t>
  </si>
  <si>
    <t>Closed</t>
  </si>
  <si>
    <t>Welche Aussagen sind für komplexe Instrumente richtig?</t>
  </si>
  <si>
    <t>Sie werden ausschließlich von der Börse definiert.</t>
  </si>
  <si>
    <t>Es werden nicht alle Ordertypen unterstützt.</t>
  </si>
  <si>
    <t>Sie stehen nur im Off-Book Trading zur Verfügung.</t>
  </si>
  <si>
    <t>Sie setzen sich aus verschiedenen einfachen Instrumenten (Leg-Instrumenten) zusammen.</t>
  </si>
  <si>
    <t>Welche Aussagen für Produkte bzw. Instrumente sind richtig?</t>
  </si>
  <si>
    <t>Einfache Instrumente des gleichen Produkts haben gleiche Handelsparameter.</t>
  </si>
  <si>
    <t>Jeder einzelne Fälligkeitstermin in einem Future stellt ein Instrument dar.</t>
  </si>
  <si>
    <t>Jedes Instrument hat eine ISIN.</t>
  </si>
  <si>
    <t>Welche Aussagen sind für den Instrumentstatus Auction richtig?</t>
  </si>
  <si>
    <t>Orders und Quotes können eingegeben werden.</t>
  </si>
  <si>
    <t>Für alle Produkte wird eine Schlussauktion durchgeführt.</t>
  </si>
  <si>
    <t>Der potenzielle Auktionspreis oder das beste Geld-/Brieflimit wird veröffentlicht.</t>
  </si>
  <si>
    <t>Orders und Quotes können nicht geändert werden.</t>
  </si>
  <si>
    <t>Welche Aussagen gelten nicht für den Instrumentstatus Continuous?</t>
  </si>
  <si>
    <t>Es werden nur das beste Geld- und das beste Brieflimit (top of book) veröffentlicht.</t>
  </si>
  <si>
    <t>Marktdaten werden aggregiert pro Limitstufe veröffentlicht.</t>
  </si>
  <si>
    <t>Der fortlaufende Handel wird durch eine untertägige Auktion unterbrochen.</t>
  </si>
  <si>
    <t>Der fortlaufende Handel kann für bestimmte Instrumente durch eine Volatilitätsauktion unterbrochen werden.</t>
  </si>
  <si>
    <t>Welche Aussagen sind für den Instrumentstatus Book (Pre- und Post-Trading) richtig?</t>
  </si>
  <si>
    <t>Quotes können nicht eingegeben werden.</t>
  </si>
  <si>
    <t>Es werden keine aktuellen Marktdaten veröffentlicht.</t>
  </si>
  <si>
    <t>Orders können geändert werden.</t>
  </si>
  <si>
    <t>Welche Aussagen sind für den fortlaufenden Handel richtig?</t>
  </si>
  <si>
    <t>Er beginnt für alle (einfache und komplexe) Instrumente mit einer Auktionsphase.</t>
  </si>
  <si>
    <t>Sofern ein gekreuztes Orderbuch vorliegt, findet vor dem Beginn ein Uncrossing statt.</t>
  </si>
  <si>
    <t>Es gibt verschiedene Zuteilungsmethoden bei der Orderausführung.</t>
  </si>
  <si>
    <t>Welche Zuteilungsmethoden gibt es im fortlaufenden Handel?</t>
  </si>
  <si>
    <t>Preis-/Zeitpriorität</t>
  </si>
  <si>
    <t>Volumen-/Zeitpriorität</t>
  </si>
  <si>
    <t>Pro-Rata Allokation</t>
  </si>
  <si>
    <t>Zeit-Pro-Rata Allokation</t>
  </si>
  <si>
    <t>Was gilt für den Instrumentstatus Restricted?</t>
  </si>
  <si>
    <t>Das Instrument ist vom Handel ausgesetzt.</t>
  </si>
  <si>
    <t>Quotes werden automatisch gelöscht.</t>
  </si>
  <si>
    <t>Was gilt nicht für den Instrumentstatus Closed (Start of Day/End of Day)?</t>
  </si>
  <si>
    <t>Es findet kein Matching statt.</t>
  </si>
  <si>
    <t>Wann steht der T7 Entry Service (TES) zur Verfügung?</t>
  </si>
  <si>
    <t>Während der produktspezifischen Off-Book-Trading-Periode, die in den Kontraktspezifikationen festgelegt ist.</t>
  </si>
  <si>
    <t>Mit Beginn der (On-Book) Pre-Trading-Periode</t>
  </si>
  <si>
    <t>Nur während der (On-Book) Post-Trading-Periode</t>
  </si>
  <si>
    <t>Nur nach der (On-Book) Closing-Periode</t>
  </si>
  <si>
    <t>Was gilt nicht für die Tagesendverarbeitung (End-of-Day Processing)?</t>
  </si>
  <si>
    <t>Löschung von schwebenden TES-Geschäften</t>
  </si>
  <si>
    <t>Schwebende TES-Geschäfte werden auf den nächsten Geschäftstag übertragen</t>
  </si>
  <si>
    <t>Löschung von Orders, deren Gültigkeit erreicht ist</t>
  </si>
  <si>
    <t>Löschung von Kontrakten, die ihr Verfallsdatum erreicht haben</t>
  </si>
  <si>
    <t>Welche Aussage zum Fast Market Status ist richtig?</t>
  </si>
  <si>
    <t>Nichtpersistente Orders werden gelöscht.</t>
  </si>
  <si>
    <t>Preiskorridore für die Validierung bei der Ordereingabe sind breiter.</t>
  </si>
  <si>
    <t>Alle Instrumente befinden sich im Status Restricted.</t>
  </si>
  <si>
    <t>Welchen Status gibt es nicht?</t>
  </si>
  <si>
    <t>Holiday</t>
  </si>
  <si>
    <t>Halt</t>
  </si>
  <si>
    <t>Fast Market</t>
  </si>
  <si>
    <t>Es gibt alle genannten.</t>
  </si>
  <si>
    <t>Für Aktienoptionen ist es nicht möglich, Market Orders zu erteilen.</t>
  </si>
  <si>
    <t>Für Aktienoptionen ist es nicht möglich, Stop-Orders zu erteilen.</t>
  </si>
  <si>
    <t>Eine Market Order in einem Fixed Income Futures-Produkt kann nicht mit der Restriktion BOC (Book-or-cancel) erteilt werden.</t>
  </si>
  <si>
    <t>Welche Aussagen gelten für Immediate-Or-Cancel (IOC) Orders?</t>
  </si>
  <si>
    <t>Sie werden sofort und vollständig oder soweit wie möglich ausgeführt.</t>
  </si>
  <si>
    <t>Nicht ausgeführte Teile werden in das Orderbuch gestellt.</t>
  </si>
  <si>
    <t>Nicht ausgeführte Teile der Order werden sofort gelöscht.</t>
  </si>
  <si>
    <t>Sie sind nicht für Futures möglich.</t>
  </si>
  <si>
    <t>Welche Aussagen gelten für die Ordererteilung?</t>
  </si>
  <si>
    <t>Es muss immer eine Client-ID zugewiesen sein.</t>
  </si>
  <si>
    <t>Während einer Volatilitätsauktion können keine neuen Orders erteilt werden.</t>
  </si>
  <si>
    <t>Es muss immer eine Trading Capacity zugewiesen sein.</t>
  </si>
  <si>
    <t>Nicht alle Ordertypen können für jedes Instrument genutzt werden.</t>
  </si>
  <si>
    <t>Welche Aussagen gelten zum Zeitpunkt der Ordererteilung für One-Cancels-the-Other (OCO) Orders?</t>
  </si>
  <si>
    <t>Das Stop Limit einer Verkauf OCO-Order muss höher sein als das beste Kauflimit im Orderbuch.</t>
  </si>
  <si>
    <t>Das Stop Limit einer Verkauf OCO-Order muss niedriger sein als ihr Limit und niedriger als das beste Verkaufslimit im Orderbuch.</t>
  </si>
  <si>
    <t>Sie hat ein Limit und ein Stop Limit.</t>
  </si>
  <si>
    <t>Weitere Gültigkeitsbeschränkungen sind nicht möglich.</t>
  </si>
  <si>
    <t>Welche der folgenden Orders können in einem Future-Kontrakt erteilt werden, wenn der letzte Preis 5056,5 ist?</t>
  </si>
  <si>
    <t>Kauf-Market Order 10 Kontrakte Immediate-Or-Cancel (IOC)</t>
  </si>
  <si>
    <t>Kauf-Stop Order 10 Kontrakte Stop Limit 5123,5</t>
  </si>
  <si>
    <t>Verkaufs-Stop Order 10 Kontrakte Stop Limit 5066</t>
  </si>
  <si>
    <t>Verkaufs-Limit Order 10 Kontrakte mit 5090 Good-Till-Cancel (GTC)</t>
  </si>
  <si>
    <t>Welche der folgenden Orders können in einem ODAX-Kontrakt erteilt werden, wenn der letzte Preis 50,6 ist?</t>
  </si>
  <si>
    <t>Kauf-Market Order 10 Kontrakte</t>
  </si>
  <si>
    <t>Kauf-Stop Order 10 Kontrakte Stop Limit 59</t>
  </si>
  <si>
    <t>Kauf-Limit Order 10 Kontrakte mit 58 Immediate-Or-Cancel (IOC)</t>
  </si>
  <si>
    <t>Kauf-Limit Order 10 Kontrakte mit 28 Good-Till-Cancel (GTC)</t>
  </si>
  <si>
    <t>Welche Orderattribute sind Pflicht?</t>
  </si>
  <si>
    <t>Trading Capacity (Handelskonto) – Eigenhandels- oder Kundenorder</t>
  </si>
  <si>
    <t>Client-ID bei Kundenorders</t>
  </si>
  <si>
    <t>Cross-ID</t>
  </si>
  <si>
    <t>Algo-ID, wenn die Anlageentscheidung vorrangig durch einen Algorithmus getroffen wurde</t>
  </si>
  <si>
    <t>Wie werden Stop Orders ausgelöst?</t>
  </si>
  <si>
    <t>Auf Basis des besten Geld- oder Brieflimits</t>
  </si>
  <si>
    <t>Auf Basis des letzten Preises</t>
  </si>
  <si>
    <t>Auf Basis von Auktionspreisen (inkl. Schlussauktion)</t>
  </si>
  <si>
    <t>Alle Kauf- und alle Verkaufs-Stop Orders mit dem gleichen Stop-Limit gleichzeitig</t>
  </si>
  <si>
    <t>Welche Aussage gilt nicht für Book-Or-Cancel (BOC) Orders?</t>
  </si>
  <si>
    <t>Sie werden nie direkt bei der Einstellung ausgeführt.</t>
  </si>
  <si>
    <t>Sie müssen ein Limit haben.</t>
  </si>
  <si>
    <t>Sie können limitiert oder unlimitiert sein.</t>
  </si>
  <si>
    <t>Weitere Handelsbeschränkungen sind nicht möglich.</t>
  </si>
  <si>
    <t>Welche Handelsbeschränkungen kann man für Auktionen auswählen?</t>
  </si>
  <si>
    <t>Closing Auction Only</t>
  </si>
  <si>
    <t>Opening Auction Only</t>
  </si>
  <si>
    <t>Volatility Auction Only</t>
  </si>
  <si>
    <t>Auction Only</t>
  </si>
  <si>
    <t>Welches Attribut ist für eine Kundenorder verpflichtend?</t>
  </si>
  <si>
    <t>Trading Capacity A (Agent)</t>
  </si>
  <si>
    <t>Client-ID</t>
  </si>
  <si>
    <t>Kontraktanzahl</t>
  </si>
  <si>
    <t>Welches Attribut ist für eine Eigenhandelsorder nicht verpflichtend?</t>
  </si>
  <si>
    <t>Trading Capacity</t>
  </si>
  <si>
    <t>Investment Qualifier</t>
  </si>
  <si>
    <t>Investment ID</t>
  </si>
  <si>
    <t>Welche Aussage zur Kennzeichnung von algorithmischen Orders ist falsch?</t>
  </si>
  <si>
    <t>Orders müssen den Execution Qualifier “22” haben.</t>
  </si>
  <si>
    <t>Das Feld “Execution Identifier“ muss die Algo-ID enthalten.</t>
  </si>
  <si>
    <t>Die Algo-Kennung (ID) wird von der Börse vergeben.</t>
  </si>
  <si>
    <t>Eurex Deutschland muss Daten zur Identifizierung des Algorithmus der BaFin zugänglich machen.</t>
  </si>
  <si>
    <t>Eine extreme Preisabweichung in einem komplexen Instrument löst eine Volatilitätsunterbrechung aus.</t>
  </si>
  <si>
    <t>Die Parameter für eine Volatilitätsunterbrechung sind so gewählt, dass Volatilitätsunterbrechungen nur in extremen Marktsituationen auftreten.</t>
  </si>
  <si>
    <t>Volatilitätsunterbrechungen werden nur in einfachen Futures Instrumenten ausgelöst.</t>
  </si>
  <si>
    <t>Welche Schutzmechanismen gibt es generell?</t>
  </si>
  <si>
    <t>Volatilitätsunterbrechung, wenn der potentielle Ausführungspreis extrem vom letzten Preis abweicht</t>
  </si>
  <si>
    <t>Volatilitätsunterbrechung, wenn der Preis des neuen Geschäfts extrem vom letzten Preis abweicht</t>
  </si>
  <si>
    <t>Preiskorridore zur Plausibilitätsprüfung des Orderlimits bei der Eingabe</t>
  </si>
  <si>
    <t>Market Order Matching Range</t>
  </si>
  <si>
    <t>Welche Vorhandelskontrollen muss ein Handelsplatz gemäß MiFID II vornehmen?</t>
  </si>
  <si>
    <t>Limit Orders müssen bei der Eingabe gegen definierte Preiskorridore validiert werden.</t>
  </si>
  <si>
    <t>Pro Händler muss ein maximaler Orderwert definiert werden.</t>
  </si>
  <si>
    <t>Pro Händler muss eine maximale Quantität je Order definiert werden.</t>
  </si>
  <si>
    <t>Market Orders dürfen nur nach dem 4-Augen-Prinzip eingegeben werden.</t>
  </si>
  <si>
    <t>Welche Aussagen gelten für Volatilitätsunterbrechungen (Volatilty Auctions)?</t>
  </si>
  <si>
    <t>Während der Volatility Auction ist das Orderbuch voll einsehbar.</t>
  </si>
  <si>
    <t>Während einer Volatility Auction wird das beste Geld-/Brieflimit oder der potenzielle Auktionspreis veröffentlicht.</t>
  </si>
  <si>
    <t>Die Parameter (Preiskorridore und Zeitintervalle) die zur Auslösung einer Volatiltiy Auction führen, werden nicht veröffentlicht.</t>
  </si>
  <si>
    <t>Das Matching/Uncrossing entspricht einer regulären Auktion.</t>
  </si>
  <si>
    <t>Welche Verpflichtungen muss ein Regulatory Market Maker erfüllen?</t>
  </si>
  <si>
    <t>Quotieren bei angespannten Marktverhältnissen und außergewöhnlichen Umständen</t>
  </si>
  <si>
    <t>Teilnahmequote von mindestens 80 % im fortlaufenden Handel</t>
  </si>
  <si>
    <t>Teilnahmequote von mindestens 50 % im fortlaufenden Handel</t>
  </si>
  <si>
    <t>Stellen von verbindlichen, beidseitigen Quotes in mindestens einem Produkt</t>
  </si>
  <si>
    <t>Welche Aussagen zum Market Making sind richtig?</t>
  </si>
  <si>
    <t>Wenn die Börsengeschäftsführung außergewöhnliche Umstände bekannt gegeben hat, gelten keine Quotierungsanforderungen.</t>
  </si>
  <si>
    <t>Es müssen verbindliche, beidseitige Quotes in mindestens einem Produkt gestellt werden.</t>
  </si>
  <si>
    <t>Liquidity Provider können zwischen verschiedenen Market Making Bausteinen wählen.</t>
  </si>
  <si>
    <t>Es wird zwischen regulatorischem Market Making und Liquidity Provisioning (Eurex Liquidity Provider) unterschieden.</t>
  </si>
  <si>
    <t>Damit die Bereitstellung von Zusatzliquidität grundsätzlich vorhersehbar ist, muss ein Handelsplatz Anforderungen für bestimmte Marktbedingungen definieren. Welche Aussagen sind richtig?</t>
  </si>
  <si>
    <t>Während außergewöhnlicher Umstände gibt es keine Quotierungsverpflichtung.</t>
  </si>
  <si>
    <t>Während angespannter Marktbedingungen (Stressed Market Conditions) werden die Quotierungsanforderungen für die Liquidity Provider gelockert.</t>
  </si>
  <si>
    <t>Während angespannter Marktbedingungen (Stressed Market Conditions) gibt es keine Quotierungsverpflichtung.</t>
  </si>
  <si>
    <t>Außergewöhnliche Umstände werden von der Geschäftsführung entschieden und als Newsboard Message bekannt gegeben.</t>
  </si>
  <si>
    <t>Kommt in einem Future-Kontrakt ein Eröffnungspreis zustande, werden alle vorliegenden Market Orders zu diesem Preis ausgeführt.</t>
  </si>
  <si>
    <t>Im fortlaufenden Handel gilt für Aktienindex Future-Kontrakte keine Zeitpriorität.</t>
  </si>
  <si>
    <t>Die Market-Order-Matching-Range ist für Futures und Optionen aktiv.</t>
  </si>
  <si>
    <t>Welche Aussagen zum On-Book Matching sind richtig?</t>
  </si>
  <si>
    <t>Im fortlaufenden Handel gibt es produktspezifische Zuteilungsmethoden.</t>
  </si>
  <si>
    <t>Im fortlaufenden Handel gilt für alle Produkte Preis-Zeitpriorität.</t>
  </si>
  <si>
    <t>Das Orderbuch in Auktionen ist offen, pro Limitstufe wird das kumulierte Volumen angezeigt.</t>
  </si>
  <si>
    <t>In Auktionen gilt das Meistausführungsprinzip.</t>
  </si>
  <si>
    <t>Im fortlaufenden Handel und in Auktionen gelten die gleichen Preisbildungsregeln.</t>
  </si>
  <si>
    <t>Teilausführungen sind im fortlaufenden Handel und in Auktionen möglich.</t>
  </si>
  <si>
    <t>In Auktionen erfolgt die Preisermittlung nach dem Meistausführungsprinzip.</t>
  </si>
  <si>
    <t>Börsenpreise können nur ermittelt werden, wenn ein Quote eines regulatorischen Market Makers an der Preisermittlung beteiligt war.</t>
  </si>
  <si>
    <t>Welche Grundprinzipien gelten für das On-Book Matching?</t>
  </si>
  <si>
    <t>Für Market Orders gelten im fortlaufenden Handel besondere Regeln.</t>
  </si>
  <si>
    <t>Im fortlaufenden Handel wird jede neu eingehende Order sofort auf Ausführbarkeit überprüft und soweit wie möglich gematcht.</t>
  </si>
  <si>
    <t>Die Orderausführung erfolgt immer nach Preis-/Zeitpriorität.</t>
  </si>
  <si>
    <t>Welche Aussage gilt nicht für die Ermittlung des Auktionspreises?</t>
  </si>
  <si>
    <t>Nach der Preisermittlung/dem Uncrossing ist das beste Geldlimit niedriger als das beste Verkaufslimit.</t>
  </si>
  <si>
    <t>Der Auktionspreis ist nicht niedriger als das beste Geldlimit und nicht höher als das beste Brieflimit, das nach der Preisermittlung im Orderbuch verbleibt.</t>
  </si>
  <si>
    <t>Alle vorliegenden Market Orders werden ausgeführt.</t>
  </si>
  <si>
    <t>Market Orders haben Priorität vor Limit Orders.</t>
  </si>
  <si>
    <t>Keine Ausführung, die Market Order wird in das Orderbuch gestellt</t>
  </si>
  <si>
    <t>Keine Ausführung, die Market Order wird abgewiesen</t>
  </si>
  <si>
    <t>6 Kontrakte mit 12.510</t>
  </si>
  <si>
    <t>6 Kontrakte mit 12.510, 3 Kontrakte mit 12.511 und 9 Kontrakte mit 12.513</t>
  </si>
  <si>
    <t>6 Kontrakte mit 12.518</t>
  </si>
  <si>
    <t>Gar nicht, die Buch-Market Order wird mit 18 Kontrakten teilausgeführt</t>
  </si>
  <si>
    <t>6 Kontrakte mit 12.511</t>
  </si>
  <si>
    <t>20 Kontrakte mit 3,16</t>
  </si>
  <si>
    <t>20 Kontrakte mit 4,08</t>
  </si>
  <si>
    <t>20 Kontrakte mit 4,11</t>
  </si>
  <si>
    <t>Gar nicht</t>
  </si>
  <si>
    <t>Wann kann kein Auktionspreis ermittelt werden?</t>
  </si>
  <si>
    <t>Wenn der potentielle Auktionspreis außerhalb der Market Order Matching Range liegt.</t>
  </si>
  <si>
    <t>Wenn sich auf beiden Orderbuchseiten nur Market Orders befinden.</t>
  </si>
  <si>
    <t>Wenn von der Geschäftsführung eine Fast Market Periode festgelegt wurde.</t>
  </si>
  <si>
    <t>Wenn durch den Auktionspreis Stop Orders ausgelöst werden.</t>
  </si>
  <si>
    <t>25 Kontrakte mit 3128</t>
  </si>
  <si>
    <t>25 Kontrakte mit 3129,80</t>
  </si>
  <si>
    <t>25 Kontrakte mit 3129</t>
  </si>
  <si>
    <t>25 Kontrakte mit 3131</t>
  </si>
  <si>
    <t>Wann findet grundsätzlich ein Uncrossing statt?</t>
  </si>
  <si>
    <t>Bevor der fortlaufende Handel in komplexen Instrumenten beginnt</t>
  </si>
  <si>
    <t>Nach einer Volatilitätsauktion</t>
  </si>
  <si>
    <t>Nach einer Schlussauktion</t>
  </si>
  <si>
    <t>7 Kontrakte mit 12.499,37</t>
  </si>
  <si>
    <t>7 Kontrakte mit 12.499,50</t>
  </si>
  <si>
    <t>5 Kontrakte mit 12.499</t>
  </si>
  <si>
    <t>7 Kontrakte mit 12.499</t>
  </si>
  <si>
    <t>50 Kontrakte mit 3123, 30 Kontrakte mit 3124 und 20 Kontrakte mit 3125</t>
  </si>
  <si>
    <t>50 Kontrakte mit 3123 und 40 Kontrakte mit 3124,50</t>
  </si>
  <si>
    <t>30 Kontrakte mit 3125, 30 Kontrakte mit 3124 und 40 Kontrakte mit 3123</t>
  </si>
  <si>
    <t>100 Kontrakte mit 3123,90</t>
  </si>
  <si>
    <t>Wie erfolgt im fortlaufenden Handel die Zuteilung, wenn sich in einem ETF-Optionskontrakt mehrere Orders ausführbar gegenüberstehen und die Kontraktmenge nicht deckungsgleich ist?</t>
  </si>
  <si>
    <t>Pro-Rata Methode</t>
  </si>
  <si>
    <t>Zeit-Pro-Rate Methode</t>
  </si>
  <si>
    <t>Wie erfolgt im fortlaufenden Handel die Zuteilung, wenn sich in einem Geldmarkt-Future-Kontrakt mehrere Orders ausführbar gegenüberstehen und die Kontraktmenge nicht deckungsgleich ist?</t>
  </si>
  <si>
    <t>20 Kontrakte Order 1 und 5 Kontrakte Order 2</t>
  </si>
  <si>
    <t>25 Kontrakte Order 3</t>
  </si>
  <si>
    <t>6 Kontrakte Order 1, 5 Kontrakte Order 2 und 14 Kontrakte Order 3</t>
  </si>
  <si>
    <t>Clearing-Mitglieder sind durch die Garantiefunktion des Clearing-Hauses geschützt.</t>
  </si>
  <si>
    <t>Durch zentrales Clearing von OTC-Derivaten werden regulatorische Eigenkapitalanforderungen reduziert.</t>
  </si>
  <si>
    <t>Für die Berechnung der Variation Margin für börslich gehandelte Derivate wird die SPAN-Methode (Standardized Portfolio Analysis) genutzt.</t>
  </si>
  <si>
    <t>In welcher Form kann die Initial Margin für Plain Vanilla-Zinsswaps erbracht werden?</t>
  </si>
  <si>
    <t>Bargeld (Cash)</t>
  </si>
  <si>
    <t>Bestimmte Wertpapiere</t>
  </si>
  <si>
    <t>Wertpapierleihe</t>
  </si>
  <si>
    <t>Eigenkapital</t>
  </si>
  <si>
    <t>Was sind typische zusätzliche Services eines Prime Broker, die einem Hedge Fund "Added Value" verschaffen?</t>
  </si>
  <si>
    <t>Capital Introduction (Vermittlung von qualifizierten Investoren)</t>
  </si>
  <si>
    <t>Zentrale Kontoführung (Cash und Wertpapiere)</t>
  </si>
  <si>
    <t>Services im Bereich des Risikomanagements</t>
  </si>
  <si>
    <t>Consulting-Services (zum Beispiel bei Gründung eines Hedge Fonds)</t>
  </si>
  <si>
    <t>Von wem verlangt das Clearing-Haus einer Börse Sicherheiten?</t>
  </si>
  <si>
    <t>Von allen Börsenteilnehmern</t>
  </si>
  <si>
    <t>Von den Clearing-Mitgliedern</t>
  </si>
  <si>
    <t>Von den Kunden der Clearing-Mitglieder</t>
  </si>
  <si>
    <t>Von den Clearing-Mitgliedern und den Kunden der Clearing-Mitglieder.</t>
  </si>
  <si>
    <t>Was wird als erstes zur Deckung von Verlusten genutzt, wenn ein Clearing-Mitglied ausfällt?</t>
  </si>
  <si>
    <t>Welches Risiko wird durch die Einschaltung von Clearing-Häusern (nahezu) eliminiert?</t>
  </si>
  <si>
    <t>Margin-Sicherheiten des ausgefallenen Clearing-Mitglieds</t>
  </si>
  <si>
    <t>Beiträge zum Ausfallsfonds des ausgefallenen Clearing-Mitglieds</t>
  </si>
  <si>
    <t>Rücklagen des Clearing-Hauses</t>
  </si>
  <si>
    <t>Mögliche Versicherungen von Dritten</t>
  </si>
  <si>
    <t>Zinsänderungsrisiko</t>
  </si>
  <si>
    <t>Steuerung</t>
  </si>
  <si>
    <t>Eurex Question Bank</t>
  </si>
  <si>
    <t>TU Invest</t>
  </si>
  <si>
    <t xml:space="preserve">Applied Capital Markets  </t>
  </si>
  <si>
    <t>Lehrstuhl für Finanzmathematik</t>
  </si>
  <si>
    <t>TU Investment Club e.V.</t>
  </si>
  <si>
    <t>Umfang</t>
  </si>
  <si>
    <t>Fragen</t>
  </si>
  <si>
    <t>Zweck</t>
  </si>
  <si>
    <t>Zielgruppe</t>
  </si>
  <si>
    <t>Anzahl der Optionen x Multiplikator x Indexstand x Delta = Portfoliowert x Portfolio-Beta Berechnen Sie zunächst die linke Seite der Gleichung und teilen Sie diese dann durch das Beta des Portfolios (-&gt; 8.000 Puts x 5 EUR x 12.000 DAX-Kassamarktniveau x 0,25 Options-Delta. 8.000 x 5,00 x 12.000 x 0,25 = 120.000.000 120.000.000 / 1,5 = 80.000.000)</t>
  </si>
  <si>
    <t>Indexoptionen werden in bar abgerechnet. Wenn die Option ausgeübt wird, verliert der Verkäufer und muss die Differenz zwischen dem Schlussabrechnungspreis und dem Ausübungspreis zahlen.</t>
  </si>
  <si>
    <t>Was ist der Tickerwert des DAX-Futures?</t>
  </si>
  <si>
    <t xml:space="preserve">EUR 12,50 </t>
  </si>
  <si>
    <t>EUR 100,00</t>
  </si>
  <si>
    <t>Was ist (sind) der (die) wesentliche(n) Unterschied(e) zwischen außerbörslichen (OTC-) Geschäften und börsenbasierten Derivaten?</t>
  </si>
  <si>
    <t>Der Hauptunterschied ist die Liquidität der beiden Märkte.</t>
  </si>
  <si>
    <t>Der Unterschied besteht in der Schwierigkeit, eine Marktposition mit einer OTC-Transaktion abzusichern.</t>
  </si>
  <si>
    <t>Der Unterschied besteht darin, dass man mit einem OTC-Geschäft nicht von fallenden Zinsen profitieren kann.</t>
  </si>
  <si>
    <t>Der Unterschied besteht darin, dass man nur an einer Börse eine komplexe Anlagestrategie durchführen kann.</t>
  </si>
  <si>
    <t>Der DAX-Stand im Kassamarkt beträgt 11.800,0. Der Zinssatz beträgt 2 Prozent p.a.. Der theoretische Preis eines DAX-Futures mit einer Laufzeit von drei Monaten hat einen Wert von 11.859,0.</t>
  </si>
  <si>
    <t>DAX is a performance index: 𝐾= C  ⋅ (1+r ⋅ T-t/360) =  11,800⋅ (1+2%⋅90/360) =11,859.0</t>
  </si>
  <si>
    <t>EUR 3.750,00</t>
  </si>
  <si>
    <t>EUR 375,00</t>
  </si>
  <si>
    <t>EUR 3.710,00</t>
  </si>
  <si>
    <t>EUR 371,00</t>
  </si>
  <si>
    <t>(2.950-2.925) Punkte ∙ 10 EUR/Punkt ∙ 15 Kontrakte = EUR 3.750,00</t>
  </si>
  <si>
    <t>Ein Anleger geht eine Long-Position von einem Kontrakt im EURO STOXX 50 Future ein, basierend auf einer Notierung von 3.611-3.614. Zwei Wochen später wird die Position bei einer Notierung von 3.701-3.707 glattgestellt. Der Gewinn beträgt EUR 2.200,00 (unter Vernachlässigung etwaiger Gebühren).</t>
  </si>
  <si>
    <t>Einstieg: Kauf zum Briefkurs = 3.614,00 Punkte --&gt; Ausstieg: Verkauf zum Geldkurs = 3.701,00 Punkte --&gt; Differenz = 3.701,00 Punkte - 3.614,00 Punkte = 87 Punkte Gewinn = 87 Punkte ∙ 10 EUR/Punkt = 870,00 EUR</t>
  </si>
  <si>
    <t>Ein Investor geht eine Short-Position im DAX-Future ein, basierend auf einer Notierung von 13.817,0 - 13.820,0. Zwei Wochen später wird die Position geschlossen. Der Verlust pro Kontrakt beläuft sich auf EUR 375,00. Wie hoch war der Preis bei Glattstellung (unter Vernachlässigung etwaiger Gebühren)?</t>
  </si>
  <si>
    <t>Eingabe: 13.817,00 Punkte --&gt; Verlust pro Kontrakt = (13.817 - x) ∙ 25 EUR/Punkt = - 375 EUR x = 13.832,0</t>
  </si>
  <si>
    <t>Ein Investor eröffnet eine Long-Position im DAX-Future mit 5 Kontrakten zu einem Kurs von 13.192,00 - 13.192,50. Um seine Verluste zu begrenzen, gibt er eine Stop-Loss-Order mit einem Auslösepreis 15 Punkte unter dem Anfangskurs ein. Der Markt fällt und die Stop-Order wird ausgelöst mit 2 Kontrakte werden zum Preis des Auslösers ausgeführt und der Rest einen Tick unter diesem Limit ausgeführt werden. Wie hoch ist der realisierte Gewinn oder Verlust (unter Vernachlässigung etwaiger Gebühren)?</t>
  </si>
  <si>
    <t>Eingang:  5 Kontrakte zu 13.192,50 Punkten --&gt; Exit: 2 Kontrakte zu 13.192,50 - 15,0 = 13.177,50 Punkte --&gt; 3 Kontrakte zu 13.177,50 - 0,5 = 13.177,00 Punkte --&gt; Verlust (in Punkten) = (13.192,50 - 13.177,50) ∙ 2 + (13.191,50 - 13.177,00) ∙ 3 = -76,5 Punkte Verlust (in EUR) = - 76,5 Punkte ∙ 25,00 EUR/Punkt = EUR - 1.912,50</t>
  </si>
  <si>
    <t>EUR - 1.912,50</t>
  </si>
  <si>
    <t>EUR 1.912,50</t>
  </si>
  <si>
    <t xml:space="preserve"> EUR 76,50</t>
  </si>
  <si>
    <t>EUR 13.192,50</t>
  </si>
  <si>
    <t>Ein Anleger eröffnet eine Long-Position im EURO STOXX 50 Future mit 8 Kontrakten zu einem Kurs von 3.061,0 - 3.062,0. Um seine Verluste zu begrenzen, gibt er eine Stop-Loss-Order mit einem Auslösepreis 8 Punkte unter dem Anfangskurs ein. Der Markt fällt und die Stop-Order wird ausgelöst, wobei 5 Kontrakte zum Preis des Triggers ausgeführt werden und der Rest einen Tick unter diesem Limit. Wie hoch ist der realisierte Gewinn oder Verlust (unter Vernachlässigung etwaiger Gebühren)?</t>
  </si>
  <si>
    <t>Eingang: 8 Kontrakte zu 3.062,0 Punkten --&gt; Exit: 5 Kontrakte zu 3.062,0 - 8,0 = 3.054,0 Punkte --&gt; 3 Kontrakte zu 3.054,0 - 1,0 = 3.053,0 Punkte --&gt; Verlust (in Punkten) = (3.062,0 - 3.054,0) ∙ 5 + (3.062,0 - 3.053,0) ∙ 3 = 67 Punkte Verlust (in EUR) = 67 Punkte ∙ 10,00 EUR/Punkt = 670 EUR</t>
  </si>
  <si>
    <t xml:space="preserve">EUR 670 </t>
  </si>
  <si>
    <t xml:space="preserve">EUR - 670 </t>
  </si>
  <si>
    <t>EUR 3.054</t>
  </si>
  <si>
    <t>EUR 67</t>
  </si>
  <si>
    <t>Die Margin-Anforderungen für den DAX-Future sind für Investoren mit Long- oder Short-Positionen identisch.</t>
  </si>
  <si>
    <t>Das Risiko ist für beide Parteien gleich und damit auch die Margin-Anforderungen.</t>
  </si>
  <si>
    <t>Ein Anleger geht eine Short-Position im Euro BUND Future (FGBL) zu einem Kurs von 152,50 ein. Ein paar Tage später schließt der Markt bei einem Preis von 154,40. Wie viel Gewinn oder Verlust hat sich auf dem Margin-Konto angesammelt (unter Vernachlässigung aller Gebühren)?</t>
  </si>
  <si>
    <t xml:space="preserve">EUR - 4.750,00 </t>
  </si>
  <si>
    <t>152,50 - 154,40 = -1.90. Je 0,01 Punkt = EUR 10,00 bei einem Gesamtverlust von EUR 1.900. Lassen Sie sich nicht von der Erwähnung des Margin-Kontos irritieren.</t>
  </si>
  <si>
    <t>Wie hoch ist der Korrelationskoeffizient einer Aktie, deren Entwicklung perfekt parallel zur Marktentwicklung verläuft?</t>
  </si>
  <si>
    <t>Wenn die Entwicklung der Aktie perfekt parallel zu der des Marktes verläuft, dann "folgt" sie dem Markt und ihr Beta ist +1,0.</t>
  </si>
  <si>
    <t>+ 0,1</t>
  </si>
  <si>
    <t>+ 0,5</t>
  </si>
  <si>
    <t>+ 1</t>
  </si>
  <si>
    <t>- 1</t>
  </si>
  <si>
    <t>Ein Investor hält ein diversifiziertes Aktienportfolio mit einem Marktwert von 5 Mio. EUR. Der Betafaktor des Portfolios beträgt 1,5. Der DAX-Future wird derzeit bei 10.200 gehandelt, was einer Prämie von 2 Prozent entspricht, verglichen mit dem Kassaniveau des DAX. Welche optimale Anzahl von DAX-Futures-Kontrakten sollte zur Absicherung verkauft werden?</t>
  </si>
  <si>
    <t>10.200 Punkte entsprechen einer Prämie von 2 % gegenüber Bargeld --&gt; Indexstand = 10.200 Punkte / 1,02 = 10.000 Punkte --&gt;  Number = beta x (value of the portfolio)/ (index level × contract size) --&gt; 1,5 x  (EUR 5,000,000)/ (10,000×EUR 25) = 30</t>
  </si>
  <si>
    <t>3.000 entspricht einer Prämie von 5 % gegenüber dem Bargeld --&gt; Absolute Prämie = 3.000 Punkte / 1,05 = 2.857 Punkte --&gt; Number = beta x (value of the portfolio)/ (index level × contract size) --&gt; 1,2 x  (EUR 500,000)/ (2,857×EUR 10) = 21</t>
  </si>
  <si>
    <t>Ein Anleger kauft eine Put-Aktienoption (Kontraktgröße 100) zu einem notierten Marktpreis von EUR 30,00-32,00. Der Verlust pro Kontrakt bei Fälligkeit beträgt EUR 2.000,00; der Kassamarkt-Schlusskurs des Basiswerts beträgt EUR 238,00. Wie hoch ist der Ausübungspreis der Verkaufsoption?</t>
  </si>
  <si>
    <t>EUR 250.00</t>
  </si>
  <si>
    <t>EUR 252.00</t>
  </si>
  <si>
    <t>EUR 248.00</t>
  </si>
  <si>
    <t>Der Ausübungspreis der Verkaufsoption kann nicht anhand der gegebenen Daten bestimmt werden</t>
  </si>
  <si>
    <t>Beachten Sie zunächst, dass der Ausübungspreis "pro Aktie" lautet, obwohl der Verlust als EUR-Gesamtbetrag angegeben ist. Der Verlust betrug EUR 2.000,00 bei einer Kontraktgröße von 100 Aktien, also EUR 20,00 pro Aktie. Der Preis der Verkaufsoption bei Verfall muss auf EUR 12,00 gefallen sein, was einen Ausübungspreis von EUR 250,00 impliziert, wenn man den Kassakurs bei Verfall von EUR 238,00 berücksichtigt.</t>
  </si>
  <si>
    <t>Der gleichzeitige Verkauf von Calls und Puts auf ABC-Aktien mit identischer Laufzeit und unterschiedlichen Ausübungspreisen wird als Short Strangle bezeichnet.</t>
  </si>
  <si>
    <t>Short Strangle:  Short 1 put @ E1, short 1 call @ E2, and with same expiration date.</t>
  </si>
  <si>
    <t>Ein Anleger kauft eine DAX-Call-Option mit einem Ausübungspreis von 5.000, basierend auf einer Prämiennotierung von 60,0 - 62,0. Der aktuelle Kassamarktstand ist 4.975,0 und der Kurs des DAX-Futures ist 4.993,0. Bei welchem Kassamarktstand liegt der Break-even-Punkt bei Verfall (unter Vernachlässigung etwaiger Gebühren)?</t>
  </si>
  <si>
    <t>5062.0</t>
  </si>
  <si>
    <t>5000.0</t>
  </si>
  <si>
    <t>4999.0</t>
  </si>
  <si>
    <t>5022.0</t>
  </si>
  <si>
    <t>Die DAX-Option wird bar abgewickelt, basierend auf der Differenz zwischen dem Cash-Index am Verfallstag und dem Ausübungspreis. Bei Breakeven muss dieser In-the-money-Betrag ausreichen, um die gezahlte Prämie auszugleichen, also 62,0. Denken Sie daran, dass der Anleger den höheren Briefkurs zahlt. Daher muss der Cash-Index bei 5.062,0 liegen, um den Break-even bei Fälligkeit zu erreichen. Beachten Sie, dass Fragen oft unnötige oder redundante Informationen liefern.</t>
  </si>
  <si>
    <t>Eine 400-Put-Option wird bei 25,00 - 26,00 notiert und ein 420-Call bei 30,00-31,00. Was sind die Break-even-Punkte eines 400-420 Short Strangle (unter Vernachlässigung aller Gebühren)?</t>
  </si>
  <si>
    <t>375.00 und 450.00</t>
  </si>
  <si>
    <t>374.00 und 451.00</t>
  </si>
  <si>
    <t>343.00 und 477.00</t>
  </si>
  <si>
    <t>345.00 und 475.00</t>
  </si>
  <si>
    <t>Die Break-even-Punkte eines Short Strangle sind 1) der obere Ausübungspreis plus die erhaltene Prämie, und 2) der untere Ausübungspreis abzüglich der erhaltenen Prämie. Die erhaltene Prämie ist gleich 25,00 + 30,00 = 55,00. (Denken Sie daran, dass der Anleger den unteren Geldkurs erhält.) Die Break-even-Punkte sind 400,00-55,00 = 345,00 und 420,00 + 55,00 = 475,00.</t>
  </si>
  <si>
    <t>Eine Konversion ist für Arbitrageure unter welchen Umständen profitabel?</t>
  </si>
  <si>
    <t>Basiswert relativ gesehen überbewertet</t>
  </si>
  <si>
    <t>Call-Option relativ gesehen überbewertet</t>
  </si>
  <si>
    <t>Put-Option relativ gesehen überbewertet</t>
  </si>
  <si>
    <t>Call-Option in relativen Begriffen unterbewertet</t>
  </si>
  <si>
    <t>Ein Conversion-Trade besteht aus einer Long-Aktienposition, einem Short-Call und einem Long-Put. Eine Konvertierung ist profitabel, wenn die Aktie oder der Put unterbewertet sind oder wenn der Call überbewertet ist.</t>
  </si>
  <si>
    <t>Wie groß ist der theoretische Preisunterschied zwischen einem 6000 - 6200 und einem 6200 - 6000 Strangle unter Verwendung von DAX-Optionen mit einer Laufzeit von sechs Monaten und einem Zinssatz von 6 Prozent p.a. (ausgedrückt auf eine Dezimalstelle)?</t>
  </si>
  <si>
    <t>194.2</t>
  </si>
  <si>
    <t>192.4</t>
  </si>
  <si>
    <t>190.0</t>
  </si>
  <si>
    <t>200.0</t>
  </si>
  <si>
    <t>Welche Mindestanzahl von verschiedenen Verfallsmonaten ist für den Handel mit Aktienoptionen jederzeit verfügbar?</t>
  </si>
  <si>
    <t>Obwohl die Mindestanzahl der Verfallsmonate für deutsche und Schweizer Aktien nun acht beträgt, sind es für andere Aktienoptionen sechs - die nächsten drei Monate und die darauf folgenden drei Monate im vierteljährlichen Zyklus danach.</t>
  </si>
  <si>
    <t>Sechs</t>
  </si>
  <si>
    <t>Fünf</t>
  </si>
  <si>
    <t>Vier</t>
  </si>
  <si>
    <t>Drei</t>
  </si>
  <si>
    <t>In der Regel ist der letzte Handelstag für Aktienoptionen der dritte Freitag des Verfallsmonats.</t>
  </si>
  <si>
    <t>Dies gilt für alle Aktienoptionen.</t>
  </si>
  <si>
    <t>Ein Investor geht eine Short-Position in Schweizer Aktienoptionen ein, basierend auf einem Kurs von 23,00 - 25,00. Einige Tage später wird die Position bei einer Notierung von 26,00 - 28,00 geschlossen. Was ist das Ergebnis für 3 Kontrakte (Kontraktgröße 10 Aktien, ohne Berücksichtigung von Gebühren)?</t>
  </si>
  <si>
    <t>CHF 30</t>
  </si>
  <si>
    <t>CHF 150.00</t>
  </si>
  <si>
    <t>CHF -30</t>
  </si>
  <si>
    <t>CHF -150.00</t>
  </si>
  <si>
    <t>23.00 - 28.00 = -5.00 -&gt; -5.00CHF/Aktie x 10 Aktien x 3 Kontrakte -&gt; = - 50CHF x 3 Kontrakte -&gt; = ein Verlust von 150,00 CHF (= -150,00). Denken Sie daran, dass ein Investor immer das Tief der Kursspanne verkauft und das Hoch kauft. Beachten Sie, dass die Frage nach dem "Ergebnis" und nicht nach dem "Verlust" fragt. Die Antwort muss also mit dem korrekten arithmetischen Vorzeichen gegeben werden.</t>
  </si>
  <si>
    <t>EUR 400.00</t>
  </si>
  <si>
    <t>EUR 700.00</t>
  </si>
  <si>
    <t>EUR 800.00</t>
  </si>
  <si>
    <t>EUR 850.00</t>
  </si>
  <si>
    <t>Welchen Betrag muss ein Anleger, der einen Kontrakt einer Verkaufsoption auf ABC-Aktien (Kontraktgröße 100) kauft, bei einer Kursnotierung von 7,00 - 8,00 pro Kontrakt zahlen (unter Vernachlässigung etwaiger Gebühren)?</t>
  </si>
  <si>
    <t>EUR 8,00 pro Aktie x 100 Aktien  = EUR 800,00. -&gt; Denken Sie daran, dass, wenn die Art eines Marktteilnehmers nicht explizit als Market Maker gekennzeichnet ist, in der Regel davon ausgegangen wird, dass er ein Investor ist.</t>
  </si>
  <si>
    <t>Bei Vertragsablauf ist der Verkäufer einer Call-Indexoption verpflichtet, die Differenz zwischen dem Ausübungspreis und dem Schlussabrechnungspreis des Index bei Ausübung der Option zu zahlen.</t>
  </si>
  <si>
    <t>Ein 8850 Mai SMI-Call, der bei 132,0 gekauft wurde, wird im April ausgeübt. Was ist das Nettoergebnis bei einem SMI-Indexstand von 8964 am Kassamarkt (unter Vernachlässigung aller Gebühren)?</t>
  </si>
  <si>
    <t>Der Inhaber der Kaufoption ist nicht berechtigt, die Option im April auszuüben.</t>
  </si>
  <si>
    <t>CHF 280.00</t>
  </si>
  <si>
    <t>CHF -180.00</t>
  </si>
  <si>
    <t>CHF 275.00</t>
  </si>
  <si>
    <t>Indexoptionen (und Aktienoptionen auf russische Basiswerte) sind die einzigen Eurex-Optionen, die europäisch ausgeführt werden. Daher kann eine Mai-Option nur am letzten Handelstag ausgeübt werden, normalerweise am dritten Freitag im Mai - nicht im April!</t>
  </si>
  <si>
    <t>Es ist das Ende des Novembers. Der November-Verfall der DAX-Option ist bereits vorbei. Welche Verfallsmonate stehen für den Handel mit den DAX-Optionskontrakten zur Verfügung</t>
  </si>
  <si>
    <t>Dezember, März, Juni und September</t>
  </si>
  <si>
    <t>Dezember, Januar, Februar, März, Juni, September, Dezember, Juni, Dezember, Juni und Dezember</t>
  </si>
  <si>
    <t>Dezember, März, Juni, September und Dezember</t>
  </si>
  <si>
    <t>Dezember, Januar, Februar, März, April, Juni, September und Dezember</t>
  </si>
  <si>
    <t>DAX-Optionen haben Kontraktmonate bis zu 60 Monaten in der Zukunft: die nächsten drei aufeinanderfolgenden Monate &gt; die folgenden drei Quartalsmonate &gt; die folgenden vier Halbjahresmonate &gt; und die folgenden zwei Jahresmonate.</t>
  </si>
  <si>
    <t>1. Kassamärkte</t>
  </si>
  <si>
    <t>2. Portfoliomanagement</t>
  </si>
  <si>
    <t>3. Grundlagen Derivate</t>
  </si>
  <si>
    <t>4. Symmetrische Derivate</t>
  </si>
  <si>
    <t>5. Optionen</t>
  </si>
  <si>
    <t>6. Regelwerk</t>
  </si>
  <si>
    <t>7. Eurex</t>
  </si>
  <si>
    <t>8. Clearing</t>
  </si>
  <si>
    <t>Jonas Gottal</t>
  </si>
  <si>
    <t>152.50-154.40 = -1.90. -&gt;Jeder: 0,01 eines Punktes = EUR 10,00 bei einem Gesamtverlust von EUR 1.900,00. (Lassen Sie sich nicht von der Erwähnung des Margin-Kontos irritieren.)</t>
  </si>
  <si>
    <t>Strategy 1:  Future price (long): 148.03 --&gt; Synthetic future (short): short Call, long Put =&gt; 148.00 - (1.21 - 1.13) = 147.92 Net position: 147.92 – 148.03 = -11 ticks // Strategy 2:  Future (short): 148.02 --&gt; Synthetic Future (long): long Call, short Put =&gt; 148.00 + (1.15 – 1.19) = 147.96 Net Position: 148.02 – 147.96 = +6 ticks</t>
  </si>
  <si>
    <t>Option 1 (Futures-Perspektive):  "Kreditnehmer" → muss Zinsen zahlen → Absicherung durch Zins-Long, d.h. Short-Future→ 15 Mio. € in Dreimonats-EURIBOR-Futures entsprechen 15 Kontrakten (Kontraktgröße =1.000.000 €)→ Steigen die Zinsen von 0,5 % auf 1,5 %, dann fällt der Futures von 99,500 auf 98,500→ Das entspricht 200 Ticks (1 Tick = 0,005)→ Es waren 15 Kontrakte: 12,50 €/Tick x 200 Ticks x 15 = 37.500,00 € // Option 2 (Zinsperspektive)→Der Kreditnehmer muss zahlen, d.h. er ist short 3M-Euribor auf 15.000.000 €→ Absicherung durch long 3M-Euribor: up (1,5%-0,5%)=1% ~ 0,01 x 90/360 x 15.000.000 € = 37,500.00 €</t>
  </si>
  <si>
    <t>Kontraktgröße Bund und Bobl: € 100.000 d.h. 1bp = € 10. → Long 6 Bunds zu 147,31, Abrechnung bei 147,42 macht ein Plus von 11 Basispunkten. → 6 x 11bp x €/bp 10 = € 660. → Short 9 Bobls bei 126,45, Abrechnung bei 126,54 ergibt einen Verlust von 9 Basispunkten.→ 9 x 9bp x €/BP 10 = € - 810. ▪ € 660 - € 810 = € -150.</t>
  </si>
  <si>
    <t>Für die Ermittlung des täglichen Abrechnungspreises des Euro-BUND-Futures wird neben anderen Faktoren üblicherweise der Durchschnitt aller gehandelten Preise, die während der letzten Handelsminute auftreten, herangezogen.</t>
  </si>
  <si>
    <t>Ein Anleger hat Euro-Schatz-Futures zu 106,70 gekauft. Der Abrechnungspreis des FGBS-Futures bei Marktschluss beträgt 105,40. Wie viele Kontrakte wurden bei einem Verlust von € 84.500,00 gekauft (unter Vernachlässigung etwaiger Gebühren)?</t>
  </si>
  <si>
    <t>Möglichkeit 1 (mit Tick-Größe): Tickgröße = 0,005 d. h. 106,70-105,40 = 260 Ticks Verlust pro Kontrakt. --&gt; Jeder Tick = 5,00 €, d. h. 260 Ticks x 5,00 €/Tick = 1.300,00 € Verlust pro Kontrakt. --&gt; Gesamtverlust von € 84.500,00 / € 1.300,00 = 65 Kontrakte (Möglichkeit 2 (unter Verwendung der Kontraktgröße) :106,70-105,40 = 1,3 Prozentpunkte Verlust pro Kontrakt --&gt;  0,013 x € 100.000,00 = € 1.300,00 Verlust pro Kontrakt --&gt; Gesamtverlust von € 84.500,00 / € 1.300,00 = 65 Kontrakte)</t>
  </si>
  <si>
    <t>Die Option auf den Euro-BUND-Future ist eine europäische Option.</t>
  </si>
  <si>
    <t>Die meisten an Eurex gehandelten Optionen sind American-Style-Optionen, mit Ausnahme von Aktienoptionen auf russische Basiswerte, Rohstoffoptionen und Optionen auf EUA-Futures. Diese Optionen sind European-Style. Fixed-Income-Optionen sind American-Style.</t>
  </si>
  <si>
    <t>99.695 - 99.745 = Verlust von  0.050 oder 10 ticks für short position --&gt; Ein tick (0.005) = 12.50 € --&gt; daher 12.50 €/Tick x (-10 Ticks) = -125.00 €</t>
  </si>
  <si>
    <t>Um 10:42 Uhr wird ein Dreimonats-EURIBOR-Future zu einem Preis von 99,695 verkauft. Der tägliche Abrechnungspreis beträgt 99,745. Wie lautet das Ergebnis für den Verkäufer (unter Vernachlässigung aller Gebühren)?</t>
  </si>
  <si>
    <t>- 125.00 €</t>
  </si>
  <si>
    <t>125.00 €</t>
  </si>
  <si>
    <t>- 155.00 €</t>
  </si>
  <si>
    <t>- 12.50 €</t>
  </si>
  <si>
    <t>Das Eingehen einer Short-Position im Dreimonats-EURIBOR-Future ist verbunden mit der Erwartung steigender Renditen auf dem Geldmarkt.</t>
  </si>
  <si>
    <t>Wenn Sie eine Short-Position eingehen, gehen Sie davon aus, dass die Futures zu einem niedrigeren Preis gehandelt werden. Wenn der Futures-Preis sinkt, steigen die Zinsen (und Renditen).</t>
  </si>
  <si>
    <t>Bei den Euro-Bund-Futures und der Option handelt es sich um Schuldtitel mit langer Laufzeit.</t>
  </si>
  <si>
    <t>Ein Kreditgeber, der in einem Jahr Geld für drei Monate leihen wird, möchte sich gegen eine Zinsänderung absichern. Mit welchen EUREX-Produkten könnte er diese Strategie umsetzen?</t>
  </si>
  <si>
    <t>Euro-Bund-Futures</t>
  </si>
  <si>
    <t>Optionen auf den Dreimonats EURIBOR-Futures</t>
  </si>
  <si>
    <t xml:space="preserve">Optionen auf den Euro-Bund-Future </t>
  </si>
  <si>
    <t>Dreimonats-EURIBOR-Futures</t>
  </si>
  <si>
    <t>Der Rechnungsbetrag (ohne Stückzinsen) einer in den Euro-BUND-Future gelieferten Anleihe beträgt 98.093,80 €. Der Schlussabrechnungspreis des Futures-Kontrakts beträgt 156,20. Wie hoch ist der Umrechnungsfaktor (ausgedrückt auf drei Dezimalstellen) der gelieferten Anleihe (unter Vernachlässigung etwaiger Gebühren)?</t>
  </si>
  <si>
    <t>0.628</t>
  </si>
  <si>
    <t>0.828</t>
  </si>
  <si>
    <t>0.682</t>
  </si>
  <si>
    <t>0.928</t>
  </si>
  <si>
    <t>Stückzinsen werden nicht berücksichtigt (!) -&gt; Der Kontraktwert eines Euro-Bund-Futures beträgt 100.000 € -&gt; Daher: IA = [FSP x CF] x 1.000 -&gt; CF = IA / (FSP x 1.000) = 98.093,80 / (156,20 x 1.000) = 0,628</t>
  </si>
  <si>
    <t>Wenn die Marktrendite niedriger ist als der fiktive Kupon, ist es günstiger, Anleihen mit geringerer Duration zu liefern.</t>
  </si>
  <si>
    <t>Alle lieferbaren Anleihen für den Euro-BUND-Future wären CTD, sofern die Zinskurve flach bei 6 Prozent liegt und die Marktwerte der lieferbaren Anleihen mit ihren theoretischen Werten identisch sind.</t>
  </si>
  <si>
    <t>Unter den oben genannten Umständen wären alle Anleihen mit einer Rendite von 6 % bis zur Fälligkeit lieferbar. Der Konvertierungsfaktor würde alle Anleihen gleichwertig zu CTD lassen.</t>
  </si>
  <si>
    <t>Wenn die Marktrendite höher ist als der fiktive Kupon, ist es günstiger, Anleihen mit höherer Duration zu liefern.</t>
  </si>
  <si>
    <t>Der Schlussabrechnungspreis des Euro-Bund-Futures beträgt 154,80. Die CTD-Anleihe mit einem Marktpreis von 103,95 und einem Konvertierungsfaktor von 0,67 wird geliefert. Die Stückzinsen belaufen sich auf EUR 0,14. Der Gesamtgewinn für dieses Geschäft beträgt EUR 5.000,00 bei einer Lieferung von 10 Kontrakten (unter Vernachlässigung etwaiger Gebühren).</t>
  </si>
  <si>
    <t>Der Marktpreis der CTD-Anleihe bei Fälligkeit des CONF-Futures beträgt 103,50. Der Konvertierungsfaktor beträgt 0,69932 und die aufgelaufenen Zinsen belaufen sich auf CHF 25,00. Wie hoch ist der Schlussabrechnungspreis des CONF-Futures, wenn weder ein Gewinn noch ein Verlust aus dem Geschäft erzielt wurde (unter Vernachlässigung von Gebühren)?</t>
  </si>
  <si>
    <t>147.75</t>
  </si>
  <si>
    <t>148.00</t>
  </si>
  <si>
    <t>148.25</t>
  </si>
  <si>
    <t>148.50</t>
  </si>
  <si>
    <t>P/L = Lieferpreis - Einstandspreis = 0 -&gt; Endabrechnungspreis = Preis CTD / CF = 103,50/0,69932 = 148,001</t>
  </si>
  <si>
    <t>Bei der Verwendung des Euro-BUND-Futures zur Absicherung eines Portfolios von Anleihen genügt es, die Nominalwerte der Anleihen innerhalb des Portfolios mit dem Nominalwert des Euro-BUND-Futures zu vergleichen, um das optimale Absicherungsverhältnis zu ermitteln.</t>
  </si>
  <si>
    <t>Der Vergleich von Nominalwerten ist nicht annähernd ausreichend. Die relativen Laufzeiten der Anleihen im abzusichernden Portfolio sowie die des CTD für die Zukunft müssen ebenfalls berücksichtigt werden.</t>
  </si>
  <si>
    <t>Ein Investor hält ein Portfolio von Anleihen mit einem Marktwert von EUR 10.000.000,00 und einer Laufzeit von 5,55 Jahren. Die CTD-Anleihe hat eine Laufzeit von 7,0 Jahren, einen Kurs von 102,61 und einen Konvertierungsfaktor von 0,6729. Der aktuelle Kurs des BUND-Futures liegt bei 154,50. Wie viele Euro-BUND-Futures-Kontrakte sollte der Investor verkaufen, um das Portfolio abzusichern?</t>
  </si>
  <si>
    <t>Ein Anleger hat eine Euro-Bund-Future-Put-Option MAR 145,00 zu 2,33 gekauft. Kurz vor dem Verfall der Option möchte er dieses Geschäft ausgleichen. Welche der folgenden Transaktionen bringt für ihn das beste Ergebnis (unter Vernachlässigung etwaiger Gebühren)?</t>
  </si>
  <si>
    <t>Ausübung der Option und Verkauf des Euro-Bund-Future MAR zu 143,01</t>
  </si>
  <si>
    <t>Verkauf der Euro-Bund-Future-Put-Option MAR 144,00 zu 0,37</t>
  </si>
  <si>
    <t>Verkauf der Euro-Bund-Future-Put-Option MAR 145,00 zu 0,97</t>
  </si>
  <si>
    <t>Ausübung der Option und Kauf des Euro-Bund-Future MAR zu 144,01</t>
  </si>
  <si>
    <t>Ein Investor eröffnet eine Long-Position im Euro-BUND-Future mit 8 Kontrakten zu einem Kurs von 147,91 - 147,92. Um seine Verluste zu begrenzen, gibt er eine Stop-Loss-Order mit einem Auslösepreis 50 Ticks unter dem Anfangspreis ein. Der Markt fällt und die Stop-Order wird ausgelöst, wobei 5 Kontrakte zum Preis des Auslösepreises und der Rest einen Tick unterhalb dieses Limits ausgeführt werden. Wie hoch ist der realisierte Gewinn oder Verlust (unter Vernachlässigung etwaiger Gebühren)?</t>
  </si>
  <si>
    <t>EUR -4,030.00</t>
  </si>
  <si>
    <t>EUR 4,030.00</t>
  </si>
  <si>
    <t>EUR -403.00</t>
  </si>
  <si>
    <t>EUR 403.00</t>
  </si>
  <si>
    <t>Long 8 Euro-Bund-Kontrakte zu 147,92. -&gt; 5  mit einem Verlust von je 50 Ticks tiefer verkauft. -&gt;  restlichen 3  mit einem Verlust von je 51 Ticks  -&gt;  Gesamtverlust für den Handel: 403 Ticks. -&gt; Je Tick für  Euro-Bund-Future  EUR 10,00. --&gt;   -403 x EUR 10,00 = EUR -4.030,00.</t>
  </si>
  <si>
    <t>EUR 19,500.00</t>
  </si>
  <si>
    <t>EUR 37,500.00</t>
  </si>
  <si>
    <t>EUR 15,000.00</t>
  </si>
  <si>
    <t>EUR 2,250.00</t>
  </si>
  <si>
    <t>Bei einer Notierung von 5,00 - 6,50 für eine Option auf den Euro-BOBL-Future, wie hoch ist die Prämie für den Verkauf von drei Kontrakten?</t>
  </si>
  <si>
    <t>Um sich als Kreditnehmer gegen steigende Geldmarktzinsen zu schützen, könnten Sie Dreimonats-EURIBOR-Futures-Kontrakte verkaufen.</t>
  </si>
  <si>
    <t>Steigende Zinssätze implizieren fallende Futures-Preise. Ein Leerverkauf würde Sie vor steigenden Zinsen schützen.</t>
  </si>
  <si>
    <t>- 325.00 €</t>
  </si>
  <si>
    <t>- 350.00 €</t>
  </si>
  <si>
    <t>- 312.50 €</t>
  </si>
  <si>
    <t>325.00 €</t>
  </si>
  <si>
    <t>Ein Anleger geht eine Short-Position im Dreimonats-EURIBOR-Futures-Kontrakt ein, basierend auf einer Notierung von 98,920 - 98,950. Die Position wird bei einer Notierung von 99,020 - 99,050 glattgestellt. Wie hoch ist der Gewinn oder Verlust pro Kontrakt (unter Vernachlässigung jeglicher Gebühren)?</t>
  </si>
  <si>
    <t>Sie haben 1 Kontrakt zu 98,920 geshortet und kaufen ihn zu 99,050 zurück -&gt; Denken Sie daran, dass ein Tick = 0,005 (!) ist -&gt; Sie haben also 26 Ticks im Wert von je 12,50 € verloren = -325,00 €</t>
  </si>
  <si>
    <t>Es ist Dezember. Die nächste Anpassung eines 20-Millionen-€-Kredits, der auf der Basis des Dreimonats-EURIBOR-Zinssatzes angepasst wird, erfolgt in 9 Monaten. Der Kreditgeber sichert sich gegen fallende Zinsen ab, indem er die entsprechende Anzahl von Dreimonats-EURIBOR-Future-Kontrakten mit einem impliziten Terminsatz von 1,5 % kauft. Innerhalb von 9 Monaten fällt der 3-Monats-EURIBOR-Zinssatz tatsächlich auf 0,5%. Wie viel Gewinn macht der Kreditgeber mit dem Terminmarktgeschäft (unter Vernachlässigung etwaiger Gebühren)?</t>
  </si>
  <si>
    <t>20 Mio. € in Dreimonats-EURIBOR-Futures entsprechen 20 Kontrakten -&gt; Wenn die Zinsen von 1,5% auf 0,5% fallen, dann steigt der Future von 98,500 auf 99,500 -&gt; Das sind 20 Kontrakte x 20 Ticks: 20 x 200 x 12,50 € = 50.000,00 €</t>
  </si>
  <si>
    <t>EUR 50.000,00</t>
  </si>
  <si>
    <t>EUR 25,000.00</t>
  </si>
  <si>
    <t>EUR 2,500.00</t>
  </si>
  <si>
    <t>Eine Kombination aus einem Long-Put und einem Short-Call, beide out-of-the- Money, bei der sich die Optionsprämien gegenseitig neutralisieren, wird Zero-Cost-Collar genannt. Eine Long-Position im Underlying und ein Zero-Cost-Collar weisen die gleiche Auszahlung auf wie eine Bull-Spread-Position.</t>
  </si>
  <si>
    <t>Die Delta- und Gamma-Absicherungsmethoden bieten eine nahezu vollständige Neutralisierung von Basiswertänderungen. Wenn nur eine Absicherung gegen größere Abweichungen gewünscht ist, können Out-of-the-money-Optionen statt At-the-money-Optionen verwendet werden.</t>
  </si>
  <si>
    <t>Aktien Produkte</t>
  </si>
  <si>
    <t>Optionen</t>
  </si>
  <si>
    <t>Futures</t>
  </si>
  <si>
    <t>Aktien-Index Produkte</t>
  </si>
  <si>
    <t>Geldmarkt Produkte</t>
  </si>
  <si>
    <t>Kontraktgröße</t>
  </si>
  <si>
    <t>Underlying</t>
  </si>
  <si>
    <t xml:space="preserve">Settlement </t>
  </si>
  <si>
    <t>Letzter Handelstag</t>
  </si>
  <si>
    <t>Laufzeit Zyklen</t>
  </si>
  <si>
    <t>Daily Settlement Price</t>
  </si>
  <si>
    <t>Final Settlement Price</t>
  </si>
  <si>
    <t>Coupon</t>
  </si>
  <si>
    <t>Dax</t>
  </si>
  <si>
    <t>SMI</t>
  </si>
  <si>
    <t>Eurostoxx</t>
  </si>
  <si>
    <t>Schatz</t>
  </si>
  <si>
    <t>BOBL</t>
  </si>
  <si>
    <t>BUND</t>
  </si>
  <si>
    <t>BUXL</t>
  </si>
  <si>
    <t>3-M-EURIBOR</t>
  </si>
  <si>
    <t>Quotierung</t>
  </si>
  <si>
    <t>Fixed Income Produkte</t>
  </si>
  <si>
    <t>Tick Größe</t>
  </si>
  <si>
    <t>Tick Wert</t>
  </si>
  <si>
    <t>Margin/Prämie</t>
  </si>
  <si>
    <t>Kontrakt Monate</t>
  </si>
  <si>
    <t>Liefertag</t>
  </si>
  <si>
    <t>Cheat Sheet Produktspezifikationen</t>
  </si>
  <si>
    <t>Für welche Aktivitäten beim On-Exchange Trading-on-Behalf muss sich der Börsenteilnehmer neben der aktiven Benutzerkennung zusätzlich mit einer PIN-Nummer legitimieren?</t>
  </si>
  <si>
    <t>Ordereingabe</t>
  </si>
  <si>
    <t>Quote-Löschung</t>
  </si>
  <si>
    <t>Auskunft über bestehende Orders.</t>
  </si>
  <si>
    <t>Orderänderung</t>
  </si>
  <si>
    <t>Welche Aussage gilt nicht für Eurex EnLight-Geschäfte?</t>
  </si>
  <si>
    <t>Ein Requester kann verbindliche (firm) oder indikative Quotes zum Kauf oder Verkauf von Off-Book-Instrumenten von einem oder mehreren Respondern anfragen.</t>
  </si>
  <si>
    <t>Eurex EnLight-Geschäfte werden in den täglich vom Eurex-System erzeugten Reports angezeigt und sind als On-Book-Geschäfte gekennzeichnet.</t>
  </si>
  <si>
    <t>Der Requester kann in einer Request-for-Quote-Session einen oder mehrere Quotes von einem oder mehreren Respondern annehmen.</t>
  </si>
  <si>
    <t>Eurex EnLight-Geschäfte können bei irrtümlicher oder unrichtiger Eingabe von der Geschäftsführung der Eurex Deutschland aufgehoben werden, wenn alle beteiligten Börsenteilnehmer zustimmen.</t>
  </si>
  <si>
    <t>Welche Aussage zu TES-Geschäften ist richtig?</t>
  </si>
  <si>
    <t>Eine Bestätigung der TES-Angebotsbedingungen muss innerhalb von 15 Minuten nach der Eingabe erfolgen.</t>
  </si>
  <si>
    <t>Die Eingabe der TES-Angebotsbedingungen kann auch durch einen Börsenteilnehmer erfolgen, der nicht als Kontrahent in das Geschäft involviert ist.</t>
  </si>
  <si>
    <t>Die Bestätigung der TES-Angebotsbedingungen kann nur durch die an dem Geschäft beteiligten Börsenteilnehmer erfolgen.</t>
  </si>
  <si>
    <t>Welche Funktionalität bietet Eurex Improve?</t>
  </si>
  <si>
    <t>Welche Schritte sind für einen Eurex Improve Machting Event erforderlich?</t>
  </si>
  <si>
    <t>Welche Aussage gilt nicht für Eurex Improve?</t>
  </si>
  <si>
    <t>Dem Kunden, in dessen Auftrag ein Improve-Request gestartet wird, wird eine vollständige Ausführung der gesamten Order zu einem vorab festgelegten Preis oder besser garantiert.</t>
  </si>
  <si>
    <t>Der Handelsteilnehmer, der einen Improve-Request initiiert, kann seinem Kunden für die entsprechende Order automatisch eine Best-Execution gemäß MiFID II garantieren.</t>
  </si>
  <si>
    <t>Improve-Requests werden nicht veröffentlicht.</t>
  </si>
  <si>
    <t>Andere Handelsteilnehmer haben, indem sie auf einen Improve-Request reagieren, die Möglichkeit, am Kundenorderstrom teilzuhaben, der sonst gegebenenfalls ohne ihre Teilnahme ausgeführt worden wäre.</t>
  </si>
  <si>
    <t>Ein Kunde muss sich mit seinem Handelsteilnehmer auf alle Einzelheiten eines Geschäfts einigen, das er im Orderbuch ausgeführt haben möchte.</t>
  </si>
  <si>
    <t>Während der Preisverbesserungsperiode können alle Handelsteilnehmer (außer dem Händler, der den Improve-Request initiiert hat) zusätzliche Orders in das Orderbuch einstellen mit dem Ziel, an der Ausführung des Kundenauftrags teilzuhaben.</t>
  </si>
  <si>
    <t>Sobald die Preisverbesserungsperiode beendet ist, wird der Improve-Request im Orderbuch ausgeführt.</t>
  </si>
  <si>
    <t>Alle oben genannten Schritte.</t>
  </si>
  <si>
    <t>Mit Eurex Improve Orders können Überhange während einer Auktion ausgeglichen werden.</t>
  </si>
  <si>
    <t>Während Stressed Market müssen Market Maker Imrove-Requests innhalb von 15 Sekunden beantworten.</t>
  </si>
  <si>
    <t>Kundenorders, für die ein Improve-Request gestartet wurde, werden vollständig zu einem vorab festgelegten Preis oder besser ausgeführt.</t>
  </si>
  <si>
    <t>Eurex Improve unterstützt das Netting von Off-Book-Geschäften.</t>
  </si>
  <si>
    <t>100,000 EUR</t>
  </si>
  <si>
    <t>Delivery of Bond</t>
  </si>
  <si>
    <t>1.75 to 2.25</t>
  </si>
  <si>
    <t>4.5 to 5.5</t>
  </si>
  <si>
    <t>8.5 to 10.5</t>
  </si>
  <si>
    <t>24.0 to 35.0</t>
  </si>
  <si>
    <t>4 Prozent</t>
  </si>
  <si>
    <t>0.005</t>
  </si>
  <si>
    <t>0.02</t>
  </si>
  <si>
    <t>% des Nominalwerts</t>
  </si>
  <si>
    <t>5 EUR</t>
  </si>
  <si>
    <t>20 EUR</t>
  </si>
  <si>
    <t>10 EUR</t>
  </si>
  <si>
    <t>10th day of the last quarterly month</t>
  </si>
  <si>
    <t>Current maturity month:
- Volume-weighted average price during one min before reference point 5.15 pm CET
- Contract’s closing auction (CONF-Futures)
Remaining maturity months:
- average bid/ask spread order book</t>
  </si>
  <si>
    <t>Volume-weighted average price determined on last trading day</t>
  </si>
  <si>
    <t>Delivery of Future</t>
  </si>
  <si>
    <t>In points</t>
  </si>
  <si>
    <t>Last Friday followed by two exchange days prior to expiration month</t>
  </si>
  <si>
    <t>BUND Future</t>
  </si>
  <si>
    <t>BOBL Future</t>
  </si>
  <si>
    <t>Schatz Future</t>
  </si>
  <si>
    <t>1 Future of next Future Cycle (Jan. / Feb. / Mar. options expirations → Mar. Future)</t>
  </si>
  <si>
    <t>9 call and 9 put strikes for each expiration month
4 in-the-money, 1 at-the-money, 4 out-of-the-money Intervals for options on:
- Euro-Schatz: 0.1 points
- Euro-Bobl, Euro-OAT: 0.25 points
- Euro-Bund, Euro-BTP: 0.50 points</t>
  </si>
  <si>
    <t>Futures-Style Margining</t>
  </si>
  <si>
    <t>Determined by EUREX based on Cox-Ross-Rubinstein model</t>
  </si>
  <si>
    <t>1,000,000 EUR</t>
  </si>
  <si>
    <t>Cash Settlement</t>
  </si>
  <si>
    <t>In percent with four decimal places
Expressed as 100 minus annualized interest rate Example: 99.2750 ≙ 0.7250% p.a.</t>
  </si>
  <si>
    <t>0.005 percentage points</t>
  </si>
  <si>
    <t>12.50 EUR</t>
  </si>
  <si>
    <t>2 trading days prior to third Wednesday of maturity month</t>
  </si>
  <si>
    <t>Current month: volume weighted average price
Remaining months: average bid/ask spread of trading book</t>
  </si>
  <si>
    <t>100 minus official three-month EURIBOR rate as reported by EBF (3 decimal places)</t>
  </si>
  <si>
    <t>Terms: 1 week, 2 weeks, 1 month, 2 months, 3 months, 6 months, 9 months, 12 months</t>
  </si>
  <si>
    <t>American-style option
Exercise of option results in:
- Long position in Three-Month EURIBOR Futures for option buyer - Short position in Three-Month EURIBOR Futures for option seller
Future price = option strike</t>
  </si>
  <si>
    <t>In points with three decimal place</t>
  </si>
  <si>
    <t>1 Future of next Cycle (Jan. / Feb. / Mar. options expirations → Mar. Future)</t>
  </si>
  <si>
    <t>25 call and 25 put strikes for each expiration month 12 in-the-money, 1 at-the-money, 12 out-of-the-money Intervals of 0.125 percentage points.</t>
  </si>
  <si>
    <t>Euro Stoxx 50</t>
  </si>
  <si>
    <t>10 CHF</t>
  </si>
  <si>
    <t>0.1</t>
  </si>
  <si>
    <t>Premium Margin</t>
  </si>
  <si>
    <t>Optionen (European Style)</t>
  </si>
  <si>
    <t>The third Friday of each expiration month</t>
  </si>
  <si>
    <t>Up tp 119 months (3 nearest successive months, 3 following quarterly months (Mar, Jun, Sept, Dec), 4 following semi-annual (Jun/Dec), 9annual Dec)</t>
  </si>
  <si>
    <t>1 CHF</t>
  </si>
  <si>
    <t>1 EUR</t>
  </si>
  <si>
    <t>0.50 EUR</t>
  </si>
  <si>
    <t>3rd Friday of March, June, Sept. &amp; Dec.</t>
  </si>
  <si>
    <t>Delivery</t>
  </si>
  <si>
    <t xml:space="preserve">Die Geschäftsführungen der Eurex-Börsen können jederzeit überprüfen, ob die Geschäftstätigkeit eines Börsenteilnehmers den Vorgaben der Eurex-Börsenordnung entspricht. </t>
  </si>
  <si>
    <t>Welche Organe überwachen, dass die Börsenpreise der Eurex Deutschland ordnungsgemäß ermittelt werden?</t>
  </si>
  <si>
    <t>Börsenaufsichtsbehörde</t>
  </si>
  <si>
    <t>Börsenrat</t>
  </si>
  <si>
    <t>Handelsüberwachung</t>
  </si>
  <si>
    <t>Geschäftsführung</t>
  </si>
  <si>
    <t>Zu den Aufgaben der Eurex-Börsen gehört nach der Börsenordnung insbesondere der Abschluss von standardisierten Derivatkontrakten, wie Futures und Optionen.</t>
  </si>
  <si>
    <t>Was ist gemäß der Börsenordnung das besondere Ziel der Eurex-Börsen?</t>
  </si>
  <si>
    <t>Abschluss von standardisierten Derivatgeschäften, wie Futures und Optionen</t>
  </si>
  <si>
    <t>Abschluss von nicht standardisierten Derivaten</t>
  </si>
  <si>
    <t>Abschluss von Swap-Geschäften</t>
  </si>
  <si>
    <t>Abschluss von Termingeschäften</t>
  </si>
  <si>
    <t>Zu den Aufgaben der Geschäftsführungen der Eurex-Börsen gehört nach der Börsenordnung die Regelung der Organisation und des Geschäftsbetriebes der Börse, nicht aber die Regelung der Handelszeiten.</t>
  </si>
  <si>
    <t>Gemäß der Börsenordnung ist der Börsen-/Verwaltungsrat für die Überwachung des Tagesgeschäfts der jeweiligen Eurex-Börse zuständig.</t>
  </si>
  <si>
    <t>Alle an den Eurex-Börsen gehandelten Derivatekontrakte einschließlich der TES Flexible Options sind standardisiert.</t>
  </si>
  <si>
    <t>Welche(s) der folgenden Gremien ist/sind laut Börsenordnung für die Geschäftsführung der Eurex-Börsen zuständig?</t>
  </si>
  <si>
    <t>Disziplinarausschuss</t>
  </si>
  <si>
    <t>Handelsüberwachungsstelle</t>
  </si>
  <si>
    <t>Geschäftsführung der Eurex-Börse</t>
  </si>
  <si>
    <t>Die Aufsicht über den Betrieb der Eurex Deutschland obliegt der zuständigen obersten Landesbehörde des Landes Hessen.</t>
  </si>
  <si>
    <t>Welche der folgenden Institutionen und Stellen sind berechtigt, von Börsenteilnehmern der Eurex Deutschland Auskünfte und die Vorlage von Unterlagen zu verlangen sowie Audits durchzuführen?</t>
  </si>
  <si>
    <t>Mitglieder des Aufsichtsrates</t>
  </si>
  <si>
    <t>Mitglieder des Börsenrats</t>
  </si>
  <si>
    <t>EDP Committee</t>
  </si>
  <si>
    <t>Welches Verfahren gilt laut Börsenordnung im Falle eines Auftrags zum Ausschluss der physischen Lieferung von Futures-Kontrakten?</t>
  </si>
  <si>
    <t>Alle Positionen werden zu dem letzten gehandelten Preis geschlossen, der vor diesem Auftrag galt.</t>
  </si>
  <si>
    <t>Rechte und Pflichten gelten mit der letzten täglichen Abrechnungszahlung als erfüllt</t>
  </si>
  <si>
    <t>Der Eröffnungskurs des Vortages wird als Schlussabrechnungspreis verwendet</t>
  </si>
  <si>
    <t>Die physische Lieferung wird nie ausgeschlossen</t>
  </si>
  <si>
    <t>Welche der folgenden Preise werden gemäß der Börsenordnung an den Eurex-Börsen ermittelt?</t>
  </si>
  <si>
    <t>Offizielle Schlusskurse für Optionen</t>
  </si>
  <si>
    <t>Settlement-Preise</t>
  </si>
  <si>
    <t>Transaktionspreise während der Handelszeiten</t>
  </si>
  <si>
    <t>Offizielle Geldmarktpreise</t>
  </si>
  <si>
    <t>Welche Person muss laut Börsenordnung einen persönlichen Zugangscode für das Eurex-Börsensystem beantragen?</t>
  </si>
  <si>
    <t>Alle Börsenhändler</t>
  </si>
  <si>
    <t xml:space="preserve">alle Personen mit Backoffice- und Systemadministrationsaufgaben </t>
  </si>
  <si>
    <t>nur Senior Traders</t>
  </si>
  <si>
    <t xml:space="preserve">nur Händler mit ausländischen Niederlassungen </t>
  </si>
  <si>
    <t xml:space="preserve">Nach den einschlägigen Vorschriften können Börsenteilnehmer ihre Eigenhandelsaufträge
in Terminkontrakten gegen die ihrer Kunden ausführen lassen. </t>
  </si>
  <si>
    <t>Anträge auf Aufhebung von Geschäften müssen Eurex unverzüglich mitgeteilt werden.</t>
  </si>
  <si>
    <t xml:space="preserve">Wenn der Referenzpreis für die Beurteilung von Mistrades in Optionen nicht auf Basis von Marktpreisen ermittelt werden kann. Eurex ist berechtigt, einen "fairen" Preis unter Verwendung Optionspreismodells einen "fairen" Preis zu berechnen und diesen als alternativen Referenzpreis zu verwenden. </t>
  </si>
  <si>
    <t>Was ist (sind) die Zielsetzung(en) der Pre-Trading-Periode?</t>
  </si>
  <si>
    <t>Gelegenheit zur letzten Reaktion auf die Marktsituation während des Tages</t>
  </si>
  <si>
    <t>Gelegenheit für eine Ordereingabe zum Eröffnungskurs</t>
  </si>
  <si>
    <t>Verzögerung des Beginns des Börsenhandels</t>
  </si>
  <si>
    <t>Gelegenheit für die Teilnehmer, Aufträge und Quotes zu löschen</t>
  </si>
  <si>
    <t>Welcher Preis wird bei der Eröffnungsauktion im Falle eines gekreuzten Orderbuchs zunächst angezeigt?</t>
  </si>
  <si>
    <t>Offizieller Eröffnungspreis</t>
  </si>
  <si>
    <t>Vortagesschlusskurs</t>
  </si>
  <si>
    <t>Vorläufiger Eröffnungspreis</t>
  </si>
  <si>
    <t>In der Eröffnungsauktion werden keine Preise angezeigt</t>
  </si>
  <si>
    <t xml:space="preserve">Quotes können während der Pre-Trading-Periode nicht storniert werden </t>
  </si>
  <si>
    <t>Die Vergrößerung einer im Orderbuch vorhandenen Order führt nicht zu einer Änderung ihrer zeitlichen Priorität innerhalb des Orderbuchs</t>
  </si>
  <si>
    <t>Aus welchen Komponenten besteht eine Standard-Volatilitätsstrategie im Eurex-System?</t>
  </si>
  <si>
    <t>Gleichzeitiger Kauf und/oder Verkauf von Optionskontrakten verschiedener Optionsserien</t>
  </si>
  <si>
    <t>Kauf von Optionskontrakten und Verkauf von entsprechenden Terminkontrakten</t>
  </si>
  <si>
    <t>Verkauf von Optionskontrakten und Kauf von entsprechenden Futures-Kontrakten</t>
  </si>
  <si>
    <t>Welche Spezifikation(en) muss (müssen) für einen akzeptierten Kombinationsauftrag (Futures-Kalender-Spread) für Futures-Kontrakte an den Eurex-Börsen vorhanden sein?</t>
  </si>
  <si>
    <t xml:space="preserve">Absolute Preisgrenzen für die beiden </t>
  </si>
  <si>
    <t>Preisangabe für den Spread</t>
  </si>
  <si>
    <t>Es sind keine solchen Angaben erforderlich</t>
  </si>
  <si>
    <t>Gültigkeitsangabe</t>
  </si>
  <si>
    <t>Was sind die Bestandteile von Kombinationsaufträgen an den Eurex-Börsen für Futures?</t>
  </si>
  <si>
    <t>Kauf von Optionskontrakten und Verkauf von entsprechenden Futures-Kontrakten</t>
  </si>
  <si>
    <t>Zwei Einzelaufträge, die gleichzeitig ausgeführt werden</t>
  </si>
  <si>
    <t>Kauf und Verkauf einer identischen Anzahl von verschiedenen Futures-Kontrakten</t>
  </si>
  <si>
    <t>Ein Börsenteilnehmer möchte zwei Limit-Orders, die gegeneinander ausgeführt werden könnten, in das Eurex-System eingeben. Welche Vorgehensweise muss dieser Börsenteilnehmer einhalten?</t>
  </si>
  <si>
    <t>Sofortige Eingabe der zweiten Order in das System</t>
  </si>
  <si>
    <t>Unverzügliche Quote-Anfrage für den zweiten Auftrag</t>
  </si>
  <si>
    <t>Sofortige Benachrichtigung der Börse über die Details des zweiten Auftrages</t>
  </si>
  <si>
    <t>Eingabe eines Cross-Requests und danach Eingabe beider Aufträge innerhalb einer bestimmten Zeitspanne</t>
  </si>
  <si>
    <t>Wie werden nicht ausgeführte Futures-Kombinationsaufträge und/oder Kombinationsquotes bzw. nicht ausgeführte Teile solcher Aufträge innerhalb des Eurex-Systems behandelt?</t>
  </si>
  <si>
    <t>Löschung von Quotes am Ende des Börsenhandelstages</t>
  </si>
  <si>
    <t>Über den aktuellen Börsentag hinaus gültige Orders verbleiben im Orderbuch</t>
  </si>
  <si>
    <t>Übernahme in das Trade Entry Service - Auftragsbuch</t>
  </si>
  <si>
    <t>Überführung von Kombinationsaufträgen oder Quotes in das allgemeine Orderbuch</t>
  </si>
  <si>
    <t xml:space="preserve">Wie nennt man die Auftragsart, bei der - im Falle einer vollständigen, zusammenhängenden Ausführung - entweder die Limit- oder die Stop-Market-Order ausgeführt wird? </t>
  </si>
  <si>
    <t>Immediate-or-cancel (IOC) Order</t>
  </si>
  <si>
    <t>One-cancels-the-other (OCO)-Order</t>
  </si>
  <si>
    <t>Stop-Loss-Order</t>
  </si>
  <si>
    <t>Iceberg order</t>
  </si>
  <si>
    <t>Wie nennt man ein Geschäft, bei dem der Kauf- und der Verkaufsauftrag vom selben Börsenteilnehmer eingegeben wurden?</t>
  </si>
  <si>
    <t>Proprietary trading</t>
  </si>
  <si>
    <t>Changeover</t>
  </si>
  <si>
    <t>Kombinierter Handel</t>
  </si>
  <si>
    <t>Cross Trade</t>
  </si>
  <si>
    <t xml:space="preserve">Alle eingegebenen Orders und ausgeführten Trades eines Börsenteilnehmers werden protokolliert und stehen dem jeweiligen Börsenteilnehmer in einem Report am nächsten Tag zur Verfügung. </t>
  </si>
  <si>
    <t>Börsenmitglieder können die handelbaren Produkte für jeden ihrer Händler individuell festlegen.</t>
  </si>
  <si>
    <t xml:space="preserve">Eine Market Order für ein Fixed Income-Futures-Produkt darf weder mit der Restriktion BOC (Book-or-cancel) noch mit der Restriktion FOK (fill-or-kill) erteilt werden. </t>
  </si>
  <si>
    <t>Bei der Eingabe einer Order für einen FEU3-Kontrakt kann der Händler wählen, ob die Order mit dem Zeit-Pro-Rata-Matching-Algorithmus ausgeführt werden soll.</t>
  </si>
  <si>
    <t xml:space="preserve">Auf welche Weise werden Kombinationsaufträge mit der Einschränkung IOC (immediate-or-cancel) ausgeführt? </t>
  </si>
  <si>
    <t>Ausführung beider Komponenten zum gleichen Zeitpunkt</t>
  </si>
  <si>
    <t>Löschung des nicht ausgeführten Teils</t>
  </si>
  <si>
    <t>Ausführung zur angegebenen Preisspanne oder zu einem besseren Preis</t>
  </si>
  <si>
    <t>Ausführung beider Komponenten im gleichen Umfang</t>
  </si>
  <si>
    <t>Welche Aussage(n) zu einer Good-Till-Date (GTD)-Order ist (sind) richtig?</t>
  </si>
  <si>
    <t>Die Order kann auch für Optionsstrategien eingegeben werden</t>
  </si>
  <si>
    <t>Die Order wird sofort vollständig ausgeführt oder vollständig gelöscht</t>
  </si>
  <si>
    <t>Die Order ist bis zu dem angegebenen Datum gültig, bis sie ausgeführt oder von ihrem Inhaber storniert wird</t>
  </si>
  <si>
    <t>Die Order kann eine Limit- oder Market-Order sein</t>
  </si>
  <si>
    <t>Welche der folgenden Aussagen zu Stop-Market-Orders an den Eurex-Börsen sind richtig?</t>
  </si>
  <si>
    <t>Stop-Aufträge werden immer mit einem Trigger-Preis eingegeben.</t>
  </si>
  <si>
    <t>Stop-Aufträge werden in der Regel sofort nach Eingabe vollständig ausgeführt</t>
  </si>
  <si>
    <t>Stop-Market-Aufträge werden bei Erreichen des vorgegebenen Preislimits zu unlimitierten Aufträgen</t>
  </si>
  <si>
    <t>Stop-Orders sind nur für Futures erlaubt</t>
  </si>
  <si>
    <t>Der Auftrag wird ausgeführt, es fallen dreimal die üblichen Gebühren an</t>
  </si>
  <si>
    <t>Der Auftrag wird angenommen und kann ausgeführt oder in das Orderbuch aufgenommen werden</t>
  </si>
  <si>
    <t>Der Auftrag wird angenommen, kann aber nicht ausgeführt werden</t>
  </si>
  <si>
    <t>Die Order wird mit der Meldung "No open position" abgelehnt</t>
  </si>
  <si>
    <t xml:space="preserve">Ein Händler hat fälschlicherweise eine Order als "to close" in das Kundenkonto (A1 ) eingegeben, obwohl keine offene Position für den betreffenden Kontrakt bestand. Welche Aussage(n) ist/sind richtig? </t>
  </si>
  <si>
    <t>Welche der folgenden Aussagen zu Trades in Futures Calendar Spreads sind richtig?</t>
  </si>
  <si>
    <t>Futures-Kalender-Spreads werden im Fenster "Time &amp; Sales" angezeigt und sind speziell gekennzeichnet</t>
  </si>
  <si>
    <t>Bei Futures-Kalenderspreads wird keine Margin berücksichtigt</t>
  </si>
  <si>
    <t>Bei Futures-Kalenderspreads kann kein Give-up durchgeführt werden</t>
  </si>
  <si>
    <t>Futures-Kalender-Spreads können nur in den Kundenkonten (A...) ausgeführt werden</t>
  </si>
  <si>
    <t>An welchen Tagen können Aktienoptionen auf deutsche Aktien (amerikanischer Typ) an den Eurex-Börsen ausgeübt werden?</t>
  </si>
  <si>
    <t>Nur an ihrem jeweiligen Verfalltag</t>
  </si>
  <si>
    <t xml:space="preserve">Kontrakte werden immer automatisch am Verfallstag ausgeübt </t>
  </si>
  <si>
    <t>An jedem Handelstag während der Laufzeit des Kontraktes, mit Ausnahme des Tages vor dem Dividenden-Cash-Out</t>
  </si>
  <si>
    <t>An jedem Handelstag während der Laufzeit des Kontraktes</t>
  </si>
  <si>
    <t xml:space="preserve">Welche Aussage(n) zu Cross Requests ist/sind richtig? </t>
  </si>
  <si>
    <t>Jeder Händler kann einen Cross Request eingeben</t>
  </si>
  <si>
    <t>Nur Market Maker dürfen Cross Requests eingeben</t>
  </si>
  <si>
    <t>Cross Requests dürfen nur für Optionskontrakte eingegeben werden</t>
  </si>
  <si>
    <t>Jeder Händler kann alle Cross Requests im Markt einsehen</t>
  </si>
  <si>
    <t>Welche Änderung kann an einem bereits eingegebenen Auftrag nicht vorgenommen werden?</t>
  </si>
  <si>
    <t>Limit-Order zu Markt-Order</t>
  </si>
  <si>
    <t>Stop-Market-Order zu Limit-Order</t>
  </si>
  <si>
    <t>IOC (Immediate-or-cancel) zu GTC (Good-till-cancelled)</t>
  </si>
  <si>
    <t>Kauf zu Verkauf</t>
  </si>
  <si>
    <t>Welche Aussagen zum "Price Reasonability Check" bei der Ordereingabe an der Eurex Exchange sind richtig?</t>
  </si>
  <si>
    <t>Ein Händler erhält die Alarmmeldung "Preis nicht angemessen", wenn z.B. seine eingegebene Kauforder ein Preisniveau außerhalb einer vordefinierten Spanne über dem letzten Preis hat</t>
  </si>
  <si>
    <t>für alle Market Orders wird die Alert-Meldung "Preis nicht angemessen" angezeigt</t>
  </si>
  <si>
    <t>wenn bei der Ordereingabe die Warnmeldung "Preis nicht angemessen" angezeigt wird, kann die Order dennoch erneut aufgegeben und bestätigt werden</t>
  </si>
  <si>
    <t>wenn bei der Ordereingabe die Alarmmeldung "Preis nicht angemessen" angezeigt wird, muss die Order mit einem anderen Limit erneut eingegeben werden</t>
  </si>
  <si>
    <t>Wenn es einen Eröffnungspreis für einen Futures-Kontrakt gibt, werden alle unlimitierten (Market)-Orders im Orderbuch immer zu diesem Preis ausgeführt.</t>
  </si>
  <si>
    <t xml:space="preserve">Für Futures-Kontrakte auf den DAX gibt es keine Zeitpriorität. </t>
  </si>
  <si>
    <t>Im T7 der Eurex Exchange gibt es die Market Order Matching Range sowohl für Futures- als auch für Optionskontrakte.</t>
  </si>
  <si>
    <t>Market-Buy-Orders für Optionsprodukte dürfen nicht ausgeführt werden, während gleichzeitig Limit-Buy-Orders zum Zeitpunkt der Eröffnungspreisfeststellung ausgeführt werden.</t>
  </si>
  <si>
    <t>Die Market Order Matching Range hat keinen Einfluss auf die Ermittlung des Eröffnungspreises eines Future-Kontrakts.</t>
  </si>
  <si>
    <t>Eine Stop-Market-Order darf nicht zu einem Preis ausgeführt werden, der von ihrem definierten Trigger abweicht</t>
  </si>
  <si>
    <t>Welche eingeschränkte Orderart kann nicht als persistent bezeichnet werden?</t>
  </si>
  <si>
    <t>Good-till-cancelled</t>
  </si>
  <si>
    <t>Good-till-date</t>
  </si>
  <si>
    <t>Stop-Market-Order</t>
  </si>
  <si>
    <t>Quote</t>
  </si>
  <si>
    <t>Welche Orders werden im Falle einer Handelsunterbrechung oder eines Host-Ausfalls vor der Pre-Trading-Phase aus dem Orderbuch gelöscht?</t>
  </si>
  <si>
    <t>Persistente Aufträge</t>
  </si>
  <si>
    <t>Nicht-persistente Aufträge</t>
  </si>
  <si>
    <t>Keine Orders werden gelöscht</t>
  </si>
  <si>
    <t>Alle Orders werden gelöscht</t>
  </si>
  <si>
    <t>Der Handel für alle Kontrakte eines Produkts beginnt an den Eurex-Börsen gleichzeitig.</t>
  </si>
  <si>
    <t>Nur wenn die Ordergröße in einem Cross-Trade größer als die Mindestgröße ist, ist es notwendig, vor der Eingabe des Cross-Trade eine Cross-Anfrage zu stellen</t>
  </si>
  <si>
    <t>Cross Trades und Mistrades an den Eurex-Börsen werden typischerweise durch die Eingabe eines Gegengeschäftes ausgeglichen.</t>
  </si>
  <si>
    <t xml:space="preserve">In Notfällen können Teilnehmer ihre Aufträge von den Eurex-Börsen löschen lassen. </t>
  </si>
  <si>
    <t>Der Prozess " Trading on behalf" kann auch die Eingabe von Quotes für einen Market Maker beinhalten.</t>
  </si>
  <si>
    <t>Händler dürfen ihren Zugangscode (UserlD) anderen Händlern zur Verfügung stellen, damit diese an den Eurex-Börsen handeln können.</t>
  </si>
  <si>
    <t xml:space="preserve">Was sind die Folgen, wenn der Status eines Produkts auf "Fast Market" gesetzt wird? </t>
  </si>
  <si>
    <t>Erhöhung der maximal zulässigen Spreads für Quotes</t>
  </si>
  <si>
    <t>Anzeige des Status in den entsprechenden Fenstern</t>
  </si>
  <si>
    <t>Handelsunterbrechung für dieses Produkt für fünf Minuten</t>
  </si>
  <si>
    <t>Löschung aller bestehenden Aufträge für dieses Produkt</t>
  </si>
  <si>
    <t xml:space="preserve">Welche Möglichkeiten haben die Mitglieder, wenn sie aufgrund von internen technischen Problemen nicht handeln können? </t>
  </si>
  <si>
    <t>Teilnahme am "Trading on behalf of"-Prozess durch Anruf bei den Eurex-Börsen.</t>
  </si>
  <si>
    <t>Löschung aller ihrer Aufträge durch Anruf bei den Eurex-Börsen</t>
  </si>
  <si>
    <t>Erklärung von Mistrades für alle Geschäfte, die nach diesem Zeitpunkt entstanden sind</t>
  </si>
  <si>
    <t>Anmeldung am Eurex-System mit einer anderen Member-ID</t>
  </si>
  <si>
    <t>Welche Aussagen zum "Trading on behalf or process" sind richtig?</t>
  </si>
  <si>
    <t>Alle Orders im "Handel im Auftrag" des Prozesses werden in das Eurex-System eingegeben</t>
  </si>
  <si>
    <t>Alle Orders im "Handel im Auftrag" des Prozesses werden über den Trade Entry Service abgewickelt</t>
  </si>
  <si>
    <t>Alle Orders müssen nach der telefonischen Übermittlung per E-Mail oder Fax bestätigt werden</t>
  </si>
  <si>
    <t>Die Orders werden per Telefon an einen Eurex-Mitarbeiter übermittelt.</t>
  </si>
  <si>
    <t>Wer darf am ''Trading on behalf of process'' teilnehmen?</t>
  </si>
  <si>
    <t>Nur für alle Market Maker</t>
  </si>
  <si>
    <t xml:space="preserve">Nur der Haupthändler aller GCMs (General Clearing Member) </t>
  </si>
  <si>
    <t>Nur der Head Trader aller Mitglieder, nachdem diese sich registriert haben</t>
  </si>
  <si>
    <t>Jeder zugelassene Händler eines Mitglieds</t>
  </si>
  <si>
    <t>Marktaufsicht der Eurex-Börsen</t>
  </si>
  <si>
    <t>Geschäftsführung der Eurex-Börsen</t>
  </si>
  <si>
    <t>In welchen Fällen sollte sich ein Händler an die Handelsüberwachungsstelle(n) der Eurex-Börsen wenden?</t>
  </si>
  <si>
    <t>Auffälliges Handelsverhalten in bestimmten Kontrakten</t>
  </si>
  <si>
    <t>Fehleingabe eines Cross-Trade</t>
  </si>
  <si>
    <t>Verursachung eines Mistrades</t>
  </si>
  <si>
    <t>Teilnahme am "Trading-on-behalf"-Verfahren</t>
  </si>
  <si>
    <t>Welche der folgenden Transaktionen können mit dem "Trading on behalf"-Prozess in dem Kundenkonto (A..) eines Mitglieds ausgeführt werden?</t>
  </si>
  <si>
    <t>Eingabe von Market Orders</t>
  </si>
  <si>
    <t>Löschung von Quotes</t>
  </si>
  <si>
    <t>Löschung von Aufträgen</t>
  </si>
  <si>
    <t>Ausübung von Aktienoptionen</t>
  </si>
  <si>
    <t>Welche Bedingung(en) muss (müssen) erfüllt sein, um ein Geschäft an den Eurex-Börsen als Mistrade zu klassifizieren, das storniert werden kann?</t>
  </si>
  <si>
    <t>Erhebliche Abweichung des Geschäftspreises vom Referenzpreis</t>
  </si>
  <si>
    <t>Antrag auf Stornierung des Geschäfts durch den zuständigen Börsenteilnehmer innerhalb von 30 Minuten</t>
  </si>
  <si>
    <t>Eingabe einer Market Order</t>
  </si>
  <si>
    <t>Irrtümliche Eingabe des Auftrags</t>
  </si>
  <si>
    <t>Welches Dokument definiert die Mindestdifferenz zwischen dem Preis eines Geschäfts und dem Referenzpreis, die als erheblich gilt und somit einen Mistrade darstellt?</t>
  </si>
  <si>
    <t>Börsenordnung</t>
  </si>
  <si>
    <t>Handelsbedingungen an der Eurex Exchange</t>
  </si>
  <si>
    <t>Notfallverfahren</t>
  </si>
  <si>
    <t>Kontraktspezifikationen</t>
  </si>
  <si>
    <t>Mit welcher Handelsperiode (Produktphase) wird der Handel nach einer Handelsunterbrechung üblicherweise wieder aufgenommen?</t>
  </si>
  <si>
    <t>Post-Trading-Periode</t>
  </si>
  <si>
    <t>Trading-Periode</t>
  </si>
  <si>
    <t>Pre-Trading-Periode</t>
  </si>
  <si>
    <t xml:space="preserve">Opening Auction </t>
  </si>
  <si>
    <t>Welche Aktivitäten dürfen Händler in Produkten durchführen, die vom Handel ausgesetzt sind und den Status "Halt" haben?</t>
  </si>
  <si>
    <t>Eingabe von Give-up-Instruktionen für dieses Produkt</t>
  </si>
  <si>
    <t>Löschung von Orders, die sich noch im Orderbuch befinden</t>
  </si>
  <si>
    <t>Eingabe neuer Orders im Hinblick auf die Wiederaufnahme des Handels</t>
  </si>
  <si>
    <t>Anzeige von deren Ausführungen für dieses Produkt</t>
  </si>
  <si>
    <t>Welcher der folgenden Preise, die durch fehlerhaft eingegebene Orders im DAX-Future entstehen, kann bei einem Referenzpreis für den DAX-Future von 5.210 und einem Margin-Intervall für den DAX-Future von 400 Punkten ein Mistrade sein? Die Geschäftsführung der Eurex-Börsen hat das Intervall für eine signifikante Preisabweichung vom Referenzpreis auf 20 Prozent des Margin-Intervalls festgelegt.</t>
  </si>
  <si>
    <t>4,210.0</t>
  </si>
  <si>
    <t>5,120.0</t>
  </si>
  <si>
    <t>5,201.0</t>
  </si>
  <si>
    <t>5,510.0</t>
  </si>
  <si>
    <t>12.422,36 EUR</t>
  </si>
  <si>
    <t>22.422,36 EUR</t>
  </si>
  <si>
    <t>2.422,36 EUR</t>
  </si>
  <si>
    <t>- 12.422,36 EUR</t>
  </si>
  <si>
    <t>Letzter Handelstag der Fixed Income Futures-Kontrakte ist zwei Börsentage vor dem Liefertag des jeweiligen Quartalsmonats.</t>
  </si>
  <si>
    <t>Handelsschluss der Fixed Income Futures-Kontrakte am letzten Handelstag ist 12:30 Uhr MEZ. Und Liefertag bei Fixed Income Futures-Kontrakten ist der zehnte Kalendertag des jeweiligen Quartalsmonats, sofern dieser Tag ein Börsentag ist, andernfalls der nächste danach liegende Börsentag.</t>
  </si>
  <si>
    <t>Der Rechnungsbetrag (exklusive Stückzinsen) einer in den Euro-Bund-Futures-Kontrakt gelieferten Obligation ist 98.128,80 €. Der Schlussabrechnungspreis des Futures-Kontrakts ist 106,20. Wie hoch ist der Konvertierungsfaktor (auf drei Dezimalstellen gerundet) der gelieferten Bundesanleihe (ohne Berücksichtigung von Transaktionskosten)?</t>
  </si>
  <si>
    <t>Stückzinsen werden hier nicht berücksichtigt. Daher beträgt der Rechnungsbetrag: [Schlussabrechungspreis x Konvertierungsfaktor] x 1.000 oder KF = [Rechnungsbetrag / Schlussabrechungspreis] / 1.000. --&gt; 98.128,80 / 106,20 = 924,00. 924,00/1.000 = 0,924.</t>
  </si>
  <si>
    <t>Wird erwartet, dass die Basis sich verstärkt (strengthening), dann wird der Spread gekauft (vorne long, hinten short). Und wird erwartet, dass die Basis sich abschwächt (weakening), dann wird der Spread verkauft (vorne short, hinten long).</t>
  </si>
  <si>
    <t>Welchen Break-even-Punkt hat ein 100-110 € Bull Call Spread mit einer Nettoprämie von 4,00 €?</t>
  </si>
  <si>
    <t>104,00 EUR</t>
  </si>
  <si>
    <t>114,00 EUR</t>
  </si>
  <si>
    <t>96,00 EUR</t>
  </si>
  <si>
    <t>106,00 EUR</t>
  </si>
  <si>
    <t>Der Kauf einer Put Option entspricht dem Abschluss einer Versicherung für die zugrundeliegenden Aktien.</t>
  </si>
  <si>
    <t>Während dieser Phase überprüft Eurex die Orderbuchsituation und gibt das Produkt nach Sicherstellung geordneter Marktverhältnisse wieder für den fortlaufenden Handel frei ("Cont")</t>
  </si>
  <si>
    <t>Die Geschäftsführung kann darüber hinaus den fortlaufenden Handel für alle Instrumente des jeweiligen Produkts unterbrechen</t>
  </si>
  <si>
    <t>Zusätzlich Maximale Ordermenge und Erweiterte Risikoabsicherung</t>
  </si>
  <si>
    <t>Die Geschäftsführung der Eurex kann den Handel aussetzen, wenn ein ordnungsgemäßer Börsenhandel vorübergehend gefährdet erscheint oder wenn die Aussetzung zum Schutz des Publikums geboten erscheint, oder einen solchen Handel einstellen, wenn ein ordnungsgemäßer Börsenhandel nicht gewährleistet erscheint</t>
  </si>
  <si>
    <t>Die Geschäftsführungen der Eurex können Positionslimite festlegen, um einen ordnungsgemäßen Terminhandel zu gewährleisten und Risiken für die Kassamärkte zu vermeiden. Ein Positionslimit ist eine maximale Anzahl von Kontrakten, die von einem Börsenteilnehmer oder einem Kunden für eigene Rechnung gehalten werden dürfen.</t>
  </si>
  <si>
    <t>Das Zeitfenster für die Eingabe von Matching-Orders/Quotes nach Eingabe der Cross-Trade-Anfrage, ist 1 - 61 Sekunden für Fixed Income- und Geldmarktprodukte und 5 - 31 Sekunden für alle anderen Eurex Exchange Produkte.</t>
  </si>
  <si>
    <t>Der Käufer trägt die Verantwortung für die Einhaltung des Inhalts des Cross-Request-Eintrags</t>
  </si>
  <si>
    <t>Welche der folgenden "on-behalf-of"-Bestellungen können akzeptiert werden:</t>
  </si>
  <si>
    <t>A1-A9-Konten: Öffnen/Schließen; Änderung und Löschung von Aufträgen</t>
  </si>
  <si>
    <t>P1/P2-Konten: Nur Abschlussaufträge; Änderung und Löschung von Aufträgen</t>
  </si>
  <si>
    <t>M1/M2-Konten: Nur Schließen von Aufträgen; Ändern und Löschen von Aufträgen und Löschen von Quotes</t>
  </si>
  <si>
    <t>Ausübungen werden für alle Positionskonten akzeptiert.</t>
  </si>
  <si>
    <t>Kernelement des Eurex-Marktmodells ist das zentrale Limit-Orderbuch (CLOB), in das während des Handelstages alle Aufträge und Quotes für ein einfaches Instrument eingegeben werden.</t>
  </si>
  <si>
    <t>Die Trading-Periode ist unterteilt in die Auktionsphase und in die fortlaufende Handelsphase.</t>
  </si>
  <si>
    <t>Die Dividende eines Unternehmens beträgt 2 Euro. Die geforderte Rendite für Aktien der Branche beträgt 10%. Wie hoch ist der Preis der Aktie, wenn keine Wachstumsrate für die Dividende angenommen wird?</t>
  </si>
  <si>
    <t>Er ist billiger, da: Kassakurs GBP/USD: 1,5000; GBP-Zinssatz 1 Jahr:  3,00 %; USD-Zinssatz 1 Jahr: 1,00 %; Laufzeit/Tage:   360 --&gt; Devisenterminkurs = Kassakurs + (((Zinssatz Währung 2 – Zinssatz Währung 1) x Kassakurs x Laufzeit in Tagen) / (360 x 100)) = 1,5000 + (((1–3) x 1,5000 x 360) / (360 x 100)) = 1,47</t>
  </si>
  <si>
    <t>Bei gleicher Restlaufzeit ist die Duration höher, wenn der Kupon niedriger ist. Und Wertveränderung der Anleihe je Basispunkt (BPV) = 𝑀𝑜𝑑𝑖𝑓𝑖𝑧𝑖𝑒𝑟𝑡𝑒 𝐷𝑢𝑟𝑎𝑡𝑖𝑜𝑛 × 𝐷𝑖𝑟𝑡𝑦 𝑃𝑟𝑖𝑐𝑒 𝐴𝑛𝑙𝑒𝑖h𝑒 / 10.000</t>
  </si>
  <si>
    <t>10 Prozent des Kaufpreises</t>
  </si>
  <si>
    <t>voller Kaufpreis</t>
  </si>
  <si>
    <t>Wenn der Gesamtbetrag gleichmäßig auf alle Laufzeiten verteilt ist, spricht man von einer Leiter-Strategie. Weisen alle Anleihen die gleiche Laufzeit auf, handelt es sich um eine Bullet-Strategie</t>
  </si>
  <si>
    <t>Bei Möglichkeit (B) riskiert der Anleger, mehr Margin bereitstellen zu müssen.</t>
  </si>
  <si>
    <t>Sie besteht aus einer Reihe von Instrumenten und entsprechenden Leg-Ratios, festgelegt von der Geschäftsleitung</t>
  </si>
  <si>
    <t>Die theoretische Preisdifferenz zwischen den beiden Strangles ist der Wert der Box. (Überzeugen Sie sich selbst davon, indem Sie die Transaktionen berechnen, die erforderlich sind, um einen Strangle 6000 - 6200 in einen Strangle 6200 - 6000 umzuwandeln, und die erforderlichen Transaktionen mit der Beschreibung einer Box vergleichen). Der Wert der Box = (6200 - 6000) / (1 + 0,06/2) = 200/1,03 = 194,2. Denken Sie daran, den Zinssatz von 6 % für den Zeitraum von sechs Monaten (ein halbes Jahr) anzupassen.</t>
  </si>
  <si>
    <t>Butterfly! Conversion, Reversal und Box sind marktrisikoneutral, während eine Butterfly-Position das Risiko birgt, mit einem kleinen Verlust zu enden.</t>
  </si>
  <si>
    <t>0.005 percentage points ist die minimale Tick Size</t>
  </si>
  <si>
    <t>Differenz 0.4% aber nur ein viertel Jahr --&gt; 0.1% des Nominalwerts</t>
  </si>
  <si>
    <t>(4.817-DAX)x25=-375 --&gt;4.817-(-375/25)=4.832 EUR</t>
  </si>
  <si>
    <t>Der Handelstag beginnt mit der Pre-Trading-Periode in der Regel um 07:30 Uhr MEZ und endet mit der Post-Trading-Periode um 22:10 MEZ. Die Trading-Periode für Futures erstreckt sich je nach Produkt grundsätzlich von 08:00 bis 22:00 Uhr MEZ und für Optionen von 09:00 bis 17:30 Uhr MEZ.</t>
  </si>
  <si>
    <t>Preis-/Zeitpriorität (Preis-/Zeitallokationsverfahren) wird für die Mehrheit der Produkte angewendet.</t>
  </si>
  <si>
    <t>Zeit-Pro-Rata-Allokationsverfahren wird für kein Produkt angewendet.</t>
  </si>
  <si>
    <t>Diese Methode wird für Geldmarkt Futures angewendet.</t>
  </si>
  <si>
    <t>Pro-Rata-Allokationsverfahren wird für die Mehrheit der Produkte angewendet.</t>
  </si>
  <si>
    <t>Diese Methode wird zurzeit z. B. für ETF Optionen angewendet.</t>
  </si>
  <si>
    <t>0.88 - 0.36 x 1000 = 520EUR</t>
  </si>
  <si>
    <t>8 Prozent = ((1.07)^2/1.06)</t>
  </si>
  <si>
    <t>3 Jährige Verkaufen = 2 Jährige + 1 Jährige in 2 Jahren Kaufen --&gt; (1.095)^3/(1.07)^2 -1</t>
  </si>
  <si>
    <t>9 Prozent = ((1.07)^2/1.05)</t>
  </si>
  <si>
    <t>Mindestens 3, Bis zu 9</t>
  </si>
  <si>
    <t>(EUR 4.760,00 / 10 EUR pro Punkt)/14 Kontrakte = 34 --&gt; + 3087 = 3121 EUR</t>
  </si>
  <si>
    <t>156,70-155,40 = 1.30 --&gt; 1.30/0.01 (Tick Size) = 130 Ticks a 10 EUR --&gt; 1300 EUR pro Kontrakt = 65 Kontrakte</t>
  </si>
  <si>
    <t>65</t>
  </si>
  <si>
    <t>1 minus Zinssatz</t>
  </si>
  <si>
    <t>350 x (1-(0.03 / 2))=344,75</t>
  </si>
  <si>
    <t>Basis entspricht 0.02 Prozent --&gt; 500 x (1-0.02)</t>
  </si>
  <si>
    <t>All relevant Topics</t>
  </si>
  <si>
    <t>Ein Investor hält ein diversifiziertes Aktienportfolio mit einem Marktwert von EUR 0,5 Mio. und einem Betafaktor von 1,2. Der Anleger möchte dieses Portfolio mit dem EURO STOXX 50 Future absichern. Der EURO STOXX 50 Future wird mit einem Aufschlag von 5 Prozent auf Cash, bei einem Preis von 3.000 gehandelt. Wie viele EURO STOXX 50-Futures-Kontrakte sollen verkauft werden?</t>
  </si>
  <si>
    <t>Der Euro-BOBL-Future wird in Prozent pro EUR 100,00 Nominalwert mit zwei Nachkommastellen quotiert.</t>
  </si>
  <si>
    <t>200-196=4 Verlust; 10 Gewinn --&gt; 6 Profit pro Kontrakt --&gt; x 100 Aktien -&gt; 600 x 15 = 9000 EUR</t>
  </si>
  <si>
    <t>550-500/1.10</t>
  </si>
  <si>
    <t>200/1+(0.06/2)</t>
  </si>
  <si>
    <t>(155,00 x 0,63 +0,45 ) x 1000 - (97,50 + 0,45) x 1000 = 150 EUR</t>
  </si>
  <si>
    <t>(-91,40 + 89,55 x (1.02)) x 1000 = -59 EUR</t>
  </si>
  <si>
    <t>C – P = IF – E --&gt; 12-P=145-140 --&gt; P=7</t>
  </si>
  <si>
    <t>C – P = IF – E --&gt; 12-7=145-E --&gt; E=140</t>
  </si>
  <si>
    <t>(9-500-9.000)/490 -1 = 0.0204</t>
  </si>
  <si>
    <t>Zeitwert = Optionspreis - Innerer Wert und  Innerer Wert = Ausübungspreis – Kurs Basiswert, falls &gt; 0, sonst 0 --&gt;  Zeitwert = Optionspreis - (Ausübungspreis – Kurs Basiswert) = 485 - (12.000-11.500) = - 15</t>
  </si>
  <si>
    <t xml:space="preserve">C – P = I – E/(1+r/n) --&gt; P = C - I + E/(1+r/n) = 25 - 450 + 500/1.1 = 29.55 </t>
  </si>
  <si>
    <t>-15 + 5 = 10 --&gt; 205 +10 = 215</t>
  </si>
  <si>
    <t>E2 - E1 minus erhaltene Nettoprämie = (220-200)x100-700 = 1.300 EUR</t>
  </si>
  <si>
    <t>Differenz der Ausübungspreise minus erhaltene Prämie = (440-400) x 100 -2.100= 1900 EUR</t>
  </si>
  <si>
    <t>Ausübungspreis plus erhaltene Prämie x 0.5 oder Kassapreis minus erhaltene Prämie x 0.5 --&gt; 116 oder 95 Eur</t>
  </si>
  <si>
    <t>Glattstellen durch Kauf von ABC 53-50 = 3 Gewinn --&gt; +3 EUR Prämie --&gt; x 100 = 600 EUR</t>
  </si>
  <si>
    <t>Max Verlust sind die Prämien --&gt; (2x35 - 4x15 +2x8)x100=2.600 EUR</t>
  </si>
  <si>
    <t>Max Risiko des Bull Call Spreads: Gezahlte Prämie 20,00 EUR --&gt; 200 EUR // Max Risiko des Bear Call Spreads: Differenz der Ausübungspreise minus erhaltene Prämie = 50-20 = 30 x 10 = 300 (Kontraktgröße normal 100)</t>
  </si>
  <si>
    <t>𝐴𝑛𝑧𝑎h𝑙 𝑂𝑝𝑡𝑖𝑜𝑛𝑒𝑛 = 𝐴𝑛𝑧𝑎h𝑙 𝐴𝑘𝑡𝑖𝑒𝑛/𝐾𝑜𝑛𝑡𝑟𝑎𝑘𝑡𝑔𝑟öß𝑒  𝑥 1/ 𝐷𝑒𝑙𝑡𝑎 = 10.000/100 x 1/-0.5 = -200 --&gt; 200 Puts</t>
  </si>
  <si>
    <t>Differenz zweischen beiden Delta Hedges gesucht: 30.000/100 x 1/0.15 - 30.000/100 x 1/0.375 = 2000 - 800 = 1200</t>
  </si>
  <si>
    <t>Differenz zweischen beiden Delta Hedges gesucht: 13.000/100 x 1/0.4 - 13.000/100 x 1/0.25 =   (520-325) bei 7 EUR x 100 = 136.500EUR</t>
  </si>
  <si>
    <t>Delta Hedges: ((5.880.000/280)/100 x 1/0.5 x 10 EUR x 100) / 5.880.000 = 0.0714</t>
  </si>
  <si>
    <t>Kontrakte = Beta x (Wert d. Portfolios)/(Index Level x Kontraktgröße)  = 0.87 x 1.450.000 / 4.211 x 10 = 29.96</t>
  </si>
  <si>
    <t>Kontrakte = Delta Beta x (Wert d. Portfolios)/(Index Level x Kontraktgröße)  = (1,25 - 0,9) x 24.000.000/3.195 x 10 = 262,9</t>
  </si>
  <si>
    <t>Mit Beginn der Handelsphase (Produktstatus Trading) bis in die Post-Trading Phase</t>
  </si>
  <si>
    <t>Damit ein Off-Book (TES) Geschäft über die Eurex-Börsen zustande kommt, dürfen zwischen der außerbörslichen Einigung und der Bestätigung des Kontrahenten über den T7 Entry Service nicht mehr als 15 Minuten liegen.</t>
  </si>
  <si>
    <t>Jede Art von Risiko lässt sich durch Diversifikation völlig eliminieren.</t>
  </si>
  <si>
    <t>Welche der folgenden Positionen haben ein negatives Delta?</t>
  </si>
  <si>
    <t>Long Put</t>
  </si>
  <si>
    <t>Short Future</t>
  </si>
  <si>
    <t>Long Aktie</t>
  </si>
  <si>
    <t>Sicherheitenmanagement</t>
  </si>
  <si>
    <t>Festlegung von Kontraktspezifikationen</t>
  </si>
  <si>
    <t>Default Management</t>
  </si>
  <si>
    <t>Welche der folgenden Aufgaben übernimmt eine Central Counterparty (CCP) unteranderem?</t>
  </si>
  <si>
    <t>Transaktions- und Positionsmanagement</t>
  </si>
  <si>
    <t xml:space="preserve">Zusätzlich: Rechtssicherheit, Risikomanagement und Netting </t>
  </si>
  <si>
    <t>Progress in %</t>
  </si>
  <si>
    <t>Der Wert einer Box, die mit festverzinslichen Optionen erstellt wurde, ist lediglich die Differenz der Ausübungspreise, die 125,50-123,50 = 2,00 beträgt. (Es ist nicht notwendig, eine Barwertberechnung beim Boxen von festverzinslichen Optionen anzuwenden, da das Underlying ein Future ist und somit keine Finanzierungskosten oder Erträge anfallen, anders als bei Aktienoptionen (vgl. Handbuch 5.5, 5.11)) Wenn der Bull-Call-Spread 1,18 wert ist, muss der Bear-Put-Spread 0,82 wert sein. Hinweis: Long Box (Spread) = Long Bull Call Spread + Long Bear Put Spread</t>
  </si>
  <si>
    <t>Welcher Markt für Derivate wird auch als STIR-Markt bezeichnet?</t>
  </si>
  <si>
    <t>Markt für Geldmarktprodukte</t>
  </si>
  <si>
    <t>Markt für Kreditderivate</t>
  </si>
  <si>
    <t xml:space="preserve">Markt für Kapitalmarktprodukte </t>
  </si>
  <si>
    <t>Markt für Aktienderivate</t>
  </si>
  <si>
    <t>Der Markt für Rohöl unterteilt sich insbesondere in...</t>
  </si>
  <si>
    <t>dunkel und leicht</t>
  </si>
  <si>
    <t>schwer und leicht</t>
  </si>
  <si>
    <t>schwer und rein</t>
  </si>
  <si>
    <t>schwer und sauer</t>
  </si>
  <si>
    <t>Mit welchen Zinssätzen werden die variablen und festen Zinszahlungen bei einem Swap abgezinst?</t>
  </si>
  <si>
    <t>Renditen unterschiedlicher Laufzeiten</t>
  </si>
  <si>
    <t>Terminsätze</t>
  </si>
  <si>
    <t>Nullkupon-Diskontierungsfaktoren</t>
  </si>
  <si>
    <t>Swap-Sätze</t>
  </si>
  <si>
    <t>Wie wird der Markt für kurzfristige Finanzierungen/Investitionen mit Laufzeiten bis zu ca. 1 Jahr genannt?</t>
  </si>
  <si>
    <t>Geldmarkt</t>
  </si>
  <si>
    <t>Kapitalmarkt</t>
  </si>
  <si>
    <t>Finanzmarkt</t>
  </si>
  <si>
    <t>Euro</t>
  </si>
  <si>
    <t>T-Bills haben einen festen Kupon.</t>
  </si>
  <si>
    <t>T-Bills werden mit einem Abschlag an den Markt ausgegeben.</t>
  </si>
  <si>
    <t>T-Bills werden mit einem Aufschlag auf den Markt gebracht.</t>
  </si>
  <si>
    <t>T-Bills sind langfristige Finanzinstrumente.</t>
  </si>
  <si>
    <t>Das Zinsrisiko am Geldmarkt ist höher als am Kapitalmarkt (Anleihenmarkt), da die Preise von Geldmarktpapieren größeren Kursschwankungen unterliegen.</t>
  </si>
  <si>
    <t>Die Höhe der Dividendenzahlung wirkt sich am Stichtag der Dividendenzahlung direkt auf den DAX-Index aus.</t>
  </si>
  <si>
    <t>Die Gewichtung der einzelnen Aktien im DAX richtet sich nur nach der Anzahl der zum Handel an der Frankfurter Wertpapierbörse zugelassenen Aktien der jeweiligen Teilaktie</t>
  </si>
  <si>
    <t>Was ist das Recht des Emittenten einer kündbaren Anleihe?</t>
  </si>
  <si>
    <t>Anleihe, die zu einem bestimmten Termin in der Zukunft zu aktuell festgelegten Konditionen ausgegeben wird.</t>
  </si>
  <si>
    <t>Vorzeitige Rückzahlung der Anleihe (zu bestimmten festgelegten Konditionen, meist zum Nennwert)</t>
  </si>
  <si>
    <t>Erhöhung des Kupons der Anleihe zu bestimmten Zeitpunkten während der Laufzeit.</t>
  </si>
  <si>
    <t>Rückzahlung der Anleihe durch Lieferung von Aktien der Gesellschaft.</t>
  </si>
  <si>
    <t>Die Eurex Clearing AG bietet das Clearing von Plain Vanilla…</t>
  </si>
  <si>
    <t>Zins-Swaps</t>
  </si>
  <si>
    <t>FRAs</t>
  </si>
  <si>
    <t>Basis-Swaps</t>
  </si>
  <si>
    <t>Über-Nacht-Index-Swaps (OIS)</t>
  </si>
  <si>
    <t>Wofür steht das Akronym CBO?</t>
  </si>
  <si>
    <t>Credit Bond Obligation</t>
  </si>
  <si>
    <t>Credit Basket Option</t>
  </si>
  <si>
    <t>Collateralized Bond Obligation</t>
  </si>
  <si>
    <t>Zertifizierte Anleihe-Option</t>
  </si>
  <si>
    <t>Wie heißt die oberste Tranche einer CDO?</t>
  </si>
  <si>
    <t>Superior</t>
  </si>
  <si>
    <t>Senior (Super Senior, falls vorhanden)</t>
  </si>
  <si>
    <t>Wie heißt die unterste Tranche eines CDOs?</t>
  </si>
  <si>
    <t>Senior</t>
  </si>
  <si>
    <t>Junk</t>
  </si>
  <si>
    <t>Wovon hängt die Höhe der CDS-Prämie ab?</t>
  </si>
  <si>
    <t>Ausfallwahrscheinlichkeit des Unternehmens</t>
  </si>
  <si>
    <t>Diskontierungssatz</t>
  </si>
  <si>
    <t>Laufzeit des CDS</t>
  </si>
  <si>
    <t xml:space="preserve">Es gibt einen Trend zu mehr elektronischem Handel. </t>
  </si>
  <si>
    <t>Der Hauptvorteil eines Order-basierten Marktes gegenüber einem Quote-basierten Markt ist seine höhere Transparenz</t>
  </si>
  <si>
    <t xml:space="preserve">Welche der folgenden Marktteilnehmer sind typischerweise Preisnehmer?  </t>
  </si>
  <si>
    <t>Vermögensverwalter (Fondsmanager)</t>
  </si>
  <si>
    <t>Unternehmen (Corporates)</t>
  </si>
  <si>
    <t>Privatanleger</t>
  </si>
  <si>
    <t>Kleine Banken</t>
  </si>
  <si>
    <t>Welche Markterwartung wird mit dem Verkauf von Put-Optionen auf den DAX-Index ausgedrückt?</t>
  </si>
  <si>
    <t>Erwartung von fallenden Indexständen</t>
  </si>
  <si>
    <t>Erwartung einer niedrigeren impliziten Volatilität</t>
  </si>
  <si>
    <t>Erwartung einer höheren impliziten Volatilität</t>
  </si>
  <si>
    <t>Erwartung fallender Zinsen während der Laufzeit des Puts</t>
  </si>
  <si>
    <t>Ein Anleger hält eine Short-Put-Position. In welcher Weise würden fallende Preise (steigende Preise für das zugrunde liegende Instrument) die Position des Anlegers beeinflussen?</t>
  </si>
  <si>
    <t>Positiv</t>
  </si>
  <si>
    <t>Negativ</t>
  </si>
  <si>
    <t>Keine Beeinflussung</t>
  </si>
  <si>
    <t>Diese Daten lassen keine eindeutige Aussage zu</t>
  </si>
  <si>
    <t>Worauf beruht der Hebeleffekt bei Termingeschäften im Vergleich zu Kassamarktgeschäften?</t>
  </si>
  <si>
    <t>Bei Termingeschäften muss nur ein fester Bruchteil des Kassamarktpreises des Basiswertes gezahlt werden</t>
  </si>
  <si>
    <t>Im Gegensatz zu Optionsgeschäften gibt es bei Termingeschäften keinen Hebeleffekt</t>
  </si>
  <si>
    <t>Der Hebeleffekt bei der Wertpapierleihe ist immer größer als der Hebeleffekt bei Termingeschäften</t>
  </si>
  <si>
    <t>Das Risiko für Anleger in Bezug auf Positionen am Terminmarkt ergibt sich u. a. aus dem Hebeleffekt, der mit Terminpositionen verbunden ist.</t>
  </si>
  <si>
    <t xml:space="preserve">Devisenterminkurse sind nichts anderes als die erwarteten Wechselkurse in der Zukunft. </t>
  </si>
  <si>
    <t>Devisentermingeschäfte können entweder als "Deliverable" oder als "Non-Deliverable" (ND) konfiguriert werden. NDs werden von wem bevorzugt?</t>
  </si>
  <si>
    <t>Arbitrageur</t>
  </si>
  <si>
    <t>Hedger</t>
  </si>
  <si>
    <t>Alle</t>
  </si>
  <si>
    <t>Trader (Spekulanten)</t>
  </si>
  <si>
    <t>Eine expansivere Geldpolitik der Zentralbank eines Landes hat so gut wie keinen Einfluss auf die FX-Wechselkurse.</t>
  </si>
  <si>
    <t>Wozu führt ein Zahlungsbilanzüberschuss eines Landes tendenziell?</t>
  </si>
  <si>
    <t>Sinkende Kurse der Heimatwährung.</t>
  </si>
  <si>
    <t>Es gibt keinen Einfluss.</t>
  </si>
  <si>
    <t>Steigende Preise der Heimatwährung.</t>
  </si>
  <si>
    <t>Die Nachfrage nach der Fremdwährung steigt.</t>
  </si>
  <si>
    <t>Bei einem Kurs von USD 1,8510 - USD 1,8520 gegen das Britische Pfund kann ein Investor 1 Britisches Pfund zu USD 1,8520 kaufen,</t>
  </si>
  <si>
    <t>Was ist (sind) der (die) Hauptunterschied(e) zwischen dem Dow Jones Industrial Average Index (DJIA) und dem Euro Stoxx 50?</t>
  </si>
  <si>
    <t>Der DJIA besteht aus den Aktien von Unternehmen, die in den USA ansässig sind</t>
  </si>
  <si>
    <t>Der DJ Euro Stoxx 50 besteht aus Aktien von Unternehmen, die in Ländern der Eurozone ansässig sind</t>
  </si>
  <si>
    <t>Der DJIA besteht nur aus Aktien von Unternehmen aus dem Industriesektor</t>
  </si>
  <si>
    <t>Der DJ Euro Stoxx 50 besteht nur aus Aktien von Unternehmen aus dem Dienstleistungssektor</t>
  </si>
  <si>
    <t>Welche Aussagen zum DAX-Index sind richtig?</t>
  </si>
  <si>
    <t>Der DAX-Index wird alle 15 Sekunden veröffentlicht</t>
  </si>
  <si>
    <t>Der DAX-Index repräsentiert die 30 größten deutschen Unternehmen, gemessen am Umsatz des Unternehmens</t>
  </si>
  <si>
    <t>Der DAX-Index wurde im Jahr 1995 eingeführt</t>
  </si>
  <si>
    <t>Der DAX-Index dient als Basiswert für Futures und Optionen, die an den Eurex-Börsen gehandelt werden</t>
  </si>
  <si>
    <t>Inhaberaktien sind die typische Form in Großbritannien.</t>
  </si>
  <si>
    <t>Der maximale Verlust, den ein Aktionär erleiden kann, ist normalerweise nicht auf den Nennwert (Nominalwert) der Aktie begrenzt.</t>
  </si>
  <si>
    <t>Ein Aktionär hat Aktien eines Unternehmens gekauft. Im Gegensatz zu einem Anleiheninhaber ist er Eigentümer (Miteigentümer) des Unternehmens und kein Kreditgeber.</t>
  </si>
  <si>
    <t>Was sind die Vorteile eines zentralen Clearings durch Clearinghäuser für den OTC-Derivatemarkt?</t>
  </si>
  <si>
    <t>Verringerung der operationellen Risiken</t>
  </si>
  <si>
    <t>Geringere (keine) Kontrahentenrisiken</t>
  </si>
  <si>
    <t>Verringerung der Inanspruchnahme von Kreditlinien</t>
  </si>
  <si>
    <t>Verringerung des regulatorischen Eigenkapitals</t>
  </si>
  <si>
    <t>Ein Investor eröffnet eine Short-Position mit 20 Kontrakten im DAX-Future zu einem Kurs von 5.147,5 - 5.148,0. Gleichzeitig eröffnet er eine Long-Position mit 50 Kontrakten im Euro Stoxx 50-Future zu einem Kurs von 3.839 - 3.840. Der Abrechnungspreis am Ende des Handelstages ist 3.941,0 für den Euro Stoxx 50 Future. Er erhält eine Netto-Variation-Margin-Belastung von EUR 11.750,00. Wie hoch war der Abrechnungspreis für den DAX-Future?</t>
  </si>
  <si>
    <t>Der (durchschnittliche) Basispunktwert einer Anleihe beträgt EUR 1,20. Um welchen Betrag steigt der Wert der Anleihe bei einem Rückgang des Marktzinses um 0,11 Prozentpunkte?</t>
  </si>
  <si>
    <t xml:space="preserve"> 13.2</t>
  </si>
  <si>
    <t xml:space="preserve"> 3.0</t>
  </si>
  <si>
    <t xml:space="preserve"> 6.5</t>
  </si>
  <si>
    <t xml:space="preserve"> 7.1</t>
  </si>
  <si>
    <t>Was verstärkt für viele "Softs" den besonderen Einfluss des Wetters?</t>
  </si>
  <si>
    <t>Verminderung der Wasserqualität</t>
  </si>
  <si>
    <t xml:space="preserve">Fokussierung auf bestimmte Standorte für die Produktion (Beispiel: Kakao) </t>
  </si>
  <si>
    <t>Ausdehnung des Wachstums der Produkte weltweit</t>
  </si>
  <si>
    <t>Auslagerung der Produktion</t>
  </si>
  <si>
    <t>Überdurchschnittliche Niederschlagsmengen für "Softs" wie Getreide können</t>
  </si>
  <si>
    <t xml:space="preserve">zu einem extremen Anstieg der Produktion und damit zu sinkenden Preisen führen </t>
  </si>
  <si>
    <t>zu einer besonders starken Nachfrage führen</t>
  </si>
  <si>
    <t>zu einer bemerkenswerten Verringerung der Produktion und damit zu steigenden Preisen führen</t>
  </si>
  <si>
    <t>zu einer bemerkenswert niedrigen Nachfrage führen.</t>
  </si>
  <si>
    <t>Die Clearingstelle für die NYSE Euronext Liffe EUR (Europa) ist …</t>
  </si>
  <si>
    <t>OCC Clearing</t>
  </si>
  <si>
    <t>LCH.Clearnet</t>
  </si>
  <si>
    <t xml:space="preserve">ICE Clear Europa </t>
  </si>
  <si>
    <t>Eurex Clearing AG</t>
  </si>
  <si>
    <t>Der Handel an der Eurex wird durchgeführt</t>
  </si>
  <si>
    <t>vollelektronisch</t>
  </si>
  <si>
    <t>im Parketthandel</t>
  </si>
  <si>
    <t>teilweise über Computer</t>
  </si>
  <si>
    <t>nur über Telefon</t>
  </si>
  <si>
    <t>Welche Art von Geschäften darf ein Nicht-Clearing-Mitglied abwickeln (abrechnen, clearen), aber nicht handeln</t>
  </si>
  <si>
    <t>Eigene Transaktionen</t>
  </si>
  <si>
    <t>Kundengeschäfte</t>
  </si>
  <si>
    <t>Geschäfte aller anderen Börsenmitglieder (NCMs)</t>
  </si>
  <si>
    <t>Keine</t>
  </si>
  <si>
    <t xml:space="preserve">Für wen darf ein Broker an der NYSE Life Euronext Transaktionen durchführen? </t>
  </si>
  <si>
    <t>Nur für sich selbst</t>
  </si>
  <si>
    <t>Für sich selbst und für Kunden</t>
  </si>
  <si>
    <t>Für sich selbst, für Kunden und für andere Börsenteilnehmer</t>
  </si>
  <si>
    <t>Für Kunden und für andere Börsenteilnehmer</t>
  </si>
  <si>
    <t>Ein Investor eröffnet eine Short-Position im CONF-Future mit 18 Kontrakten zu einem Kurs von 119,25 - 119,27. Um seine Verluste zu begrenzen, gibt er eine Stop-Loss-Order mit einem Auslösepreis ein, der 35 Ticks über dem Anfangskurs liegt. Der Markt steigt und die Stop-Order wird ausgelöst, wobei 15 Kontrakte zum Preis des Auslösepreises ausgeführt werden und der Rest einen Tick über diesem Limit. Wie hoch ist der realisierte Gewinn oder Verlust (unter Vernachlässigung aller Gebühren)?</t>
  </si>
  <si>
    <t>-6330 CHF</t>
  </si>
  <si>
    <t>6330 CHF</t>
  </si>
  <si>
    <t>-3330 CHF</t>
  </si>
  <si>
    <t>3330 CHF</t>
  </si>
  <si>
    <t>Der Spotpreis eines Rohstoffs beträgt 100. Es fallen Lagerkosten in Höhe von 2 und Versicherungskosten in Höhe von 1 für die Laufzeit an. Der risikofreie Finanzierungszinssatz beträgt 3% pa. Der aktuell am Markt gehandelte Terminkurs beträgt 105 Welcher Gewinn oder Verlust ergibt sich bei einer Cash-and-Carry-Arbitrage?</t>
  </si>
  <si>
    <t>- 2</t>
  </si>
  <si>
    <t>1</t>
  </si>
  <si>
    <t>Der Kassapreis eines Rohstoffs beträgt 100. Es fallen Lagerkosten in Höhe von 2 und Versicherungskosten in Höhe von 1 für die Laufzeit an. Der risikolose Finanzierungszins beträgt 3% p.a.. Welcher Terminpreis errechnet sich für einen Forward mit einer Laufzeit von einem Jahr?</t>
  </si>
  <si>
    <t>101</t>
  </si>
  <si>
    <t>103</t>
  </si>
  <si>
    <t>105</t>
  </si>
  <si>
    <t>106</t>
  </si>
  <si>
    <t>Wann sollten FRAs gekauft oder verkauft werden?</t>
  </si>
  <si>
    <t>Welche der folgenden Rechte oder Verpflichtungen stellen Forwards dar?</t>
  </si>
  <si>
    <t>Das Recht, in drei Monaten 500 Aktien zu einem Preis von 100 EUR zu kaufen.</t>
  </si>
  <si>
    <t>Die Verpflichtung, in sechs Monaten 117 Unzen Gold zu einem festen Preis zu kaufen.</t>
  </si>
  <si>
    <t>Die Verpflichtung, 1.290 Ferkel zu einem festen Preis in drei Monaten zu verkaufen.</t>
  </si>
  <si>
    <t>Die Verpflichtung, 5 Tonnen Butter zu einem festen Eurex-Liefertermin zu kaufen.</t>
  </si>
  <si>
    <t xml:space="preserve">Im Gegensatz zu börsengehandelten Derivaten werden OTC-Derivate nicht auf einen verfügbaren Basiswert gehandelt </t>
  </si>
  <si>
    <t>FRAs können als Differenzkontrakte bezeichnet werden, bei denen zu einem bestimmten Zeitpunkt in der Zukunft Ausgleichszahlungen zwischen Käufer und Verkäufer geleistet werden müssen.</t>
  </si>
  <si>
    <t>Die Gewinnmöglichkeiten einer Long-Position in einem Warentermingeschäft sind</t>
  </si>
  <si>
    <t>begrenzt.</t>
  </si>
  <si>
    <t>theoretisch unbegrenzt.</t>
  </si>
  <si>
    <t>maximal so hoch wie der vereinbarte Terminpreis.</t>
  </si>
  <si>
    <t>sind durch die Hebelwirkung (Leverage) begrenzt.</t>
  </si>
  <si>
    <t>Anleger</t>
  </si>
  <si>
    <t>Emittent</t>
  </si>
  <si>
    <t>Beide</t>
  </si>
  <si>
    <t xml:space="preserve">Wer ist typischerweise an Umwelt-Swaps beteiligt? </t>
  </si>
  <si>
    <t>Die Regierungen der führenden Industrienation</t>
  </si>
  <si>
    <t>Die Regierungen von Ländern der "Dritten Welt</t>
  </si>
  <si>
    <t>Nicht-Regierungs-Organisationen (NGOs)</t>
  </si>
  <si>
    <t>China</t>
  </si>
  <si>
    <t>Was passiert bei einem amortisierenden Swap?</t>
  </si>
  <si>
    <t>Der Zinssatz wird systematisch während der Laufzeit nach oben angepasst</t>
  </si>
  <si>
    <t>Der Nominalbetrag wird während der Laufzeit des Swaps schrittweise erhöht.</t>
  </si>
  <si>
    <t>Der Nominalbetrag des Swaps wird während der Laufzeit schrittweise reduziert</t>
  </si>
  <si>
    <t>Zinszahlungen werden kumuliert und erst am Ende der Laufzeit gezahlt</t>
  </si>
  <si>
    <t>Welche Aussagen zu Plan Vanilla Zinsswaps sind richtig</t>
  </si>
  <si>
    <t>Der variable Zinssatz wird zu Beginn einer Zinsperiode festgelegt</t>
  </si>
  <si>
    <t xml:space="preserve">Die Zinszahlungen erfolgen immer zu Beginn einer Zinsperiode </t>
  </si>
  <si>
    <t>Es finden in der Regel nur saldierte Zahlungen statt. Die Zahlungen des Festzinszahlers und des Festzinsempfängers werden miteinander verrechnet</t>
  </si>
  <si>
    <t>Die Zinszahlungen erfolgen immer am Ende einer Zinsperiode</t>
  </si>
  <si>
    <t>Wann erfolgt bei einem Plain-Vanilla-Zinsswap die Festlegung des variablen Zinssatzes für jede Zinsperiode?</t>
  </si>
  <si>
    <t>Am Ende einer jeden Zinsperiode</t>
  </si>
  <si>
    <t>Zu Beginn einer jeden Zinsperiode</t>
  </si>
  <si>
    <t>Individuelle Festlegung</t>
  </si>
  <si>
    <t>Der Zins muss nicht fixiert werden</t>
  </si>
  <si>
    <t>Die Vorteile von FLEX-Optionen sind</t>
  </si>
  <si>
    <t>Möglichkeit der individuellen Gestaltung der Vertragsbestandteile.</t>
  </si>
  <si>
    <t>Eliminierung des Kontrahentenrisikos durch einen CCP</t>
  </si>
  <si>
    <t>Standardisierte Abwicklungsprozessaber keine operationellen Risiken</t>
  </si>
  <si>
    <t>Laufende Anpassung der Kontraktspezifikationen an aktuelle Marktbedingungen während der Optionslaufzeit</t>
  </si>
  <si>
    <t>Welche Aussage zu FLEX-Optionen ist zutreffend?</t>
  </si>
  <si>
    <t>FLEX-Optionen werden an der FLEX (Derivatebörse in Brasilien) gehandelt</t>
  </si>
  <si>
    <t>FLEX-Optionen werden über ein Clearinghaus (z.B. Eurex Clearing) abgewickelt.</t>
  </si>
  <si>
    <t>Einige Bestandteile eines standardisierten Optionskontraktes können von den Vertragspartnern bei einer FLEX-Option bei deren Eröffnung individualisiert werden</t>
  </si>
  <si>
    <t>400 EUR</t>
  </si>
  <si>
    <t>- 400 EUR</t>
  </si>
  <si>
    <t>200 EUR</t>
  </si>
  <si>
    <t>-200 EUR</t>
  </si>
  <si>
    <t>Aus theoretischer Sicht dienen Konversionsfaktoren dazu, die für ein Termingeschäft lieferbaren Bundesanleihen zu bewerten, so dass die Lieferung einer bestimmten Anleihe gegenüber der Lieferung einer alternativen Anleihe weder vor- noch nachteilig ist.</t>
  </si>
  <si>
    <t xml:space="preserve">Wer hat eine Lieferoption bei Futures ? </t>
  </si>
  <si>
    <t>Verkäufer (short)</t>
  </si>
  <si>
    <t xml:space="preserve">Käufer (long) </t>
  </si>
  <si>
    <t xml:space="preserve">Wie werden Contracts for Difference geliefert? </t>
  </si>
  <si>
    <t>Barausgleich</t>
  </si>
  <si>
    <t>Physischer Ausgleich</t>
  </si>
  <si>
    <t>Lieferoption kann vom Käufer gewählt werden</t>
  </si>
  <si>
    <t>Lieferoption kann vom Verkäufer gewählt werden</t>
  </si>
  <si>
    <t>Warum werden US-amerikanische Optionen vor dem Verfall selten ausgeübt?</t>
  </si>
  <si>
    <t>Verlust des Zeitwerts</t>
  </si>
  <si>
    <t>Schließung erhöht den Gewinn</t>
  </si>
  <si>
    <t>Ausübung ist während der Laufzeit der Option nicht möglich</t>
  </si>
  <si>
    <t>Man erhält nur den inneren Wert der Option</t>
  </si>
  <si>
    <t>Privatanleger (Kleinanleger nach MIFID) sollten keine Derivate einsetzen.</t>
  </si>
  <si>
    <t>Bei Absicherungen mit OTC-Derivaten</t>
  </si>
  <si>
    <t>ist eine höhere Preistransparenz gegeben als bei börsengehandelten Derivaten, da verschiedene Broker immer vergleichbare Preise stellen</t>
  </si>
  <si>
    <t>können Clearingstellen genutzt werden, um das Kontrahentenrisiko zu reduzieren.</t>
  </si>
  <si>
    <t>Ausgehend von der Erwartung, dass sich die derzeitige normale Zinskurvenstruktur abflacht bzw. invertiert, kann ein Interproduktspread mit Zinsfutures attraktiv sein.</t>
  </si>
  <si>
    <t>Die größte Diversifikation kann durch eine indirekte Anlage in welcher Form erzielt werden?</t>
  </si>
  <si>
    <t>Konto</t>
  </si>
  <si>
    <t>Pool</t>
  </si>
  <si>
    <t>Fonds</t>
  </si>
  <si>
    <t>Keine der genannten</t>
  </si>
  <si>
    <t>Welche Transaktion ist vergleichbar mit der Absicherung einer Position in ABC-Aktien durch den Kauf einer at-the-money Option auf ABC-Aktien?</t>
  </si>
  <si>
    <t>Kauf eines vollen Versicherungsschutzes</t>
  </si>
  <si>
    <t>Verkauf von Vollversicherungsschutz</t>
  </si>
  <si>
    <t>Ein Portfolio aus lieferbaren deutschen Staatsanleihen wird durch den Kauf von Put-Optionen auf den Euro-BUND-Future und den Verkauf von Call-Optionen auf den Euro-BUND-Future abgesichert. Auf diese Weise sind sowohl eine Mindest- als auch eine Maximalrendite des Portfolios für die Laufzeit der Optionen festgeschrieben worden.</t>
  </si>
  <si>
    <t>Welche Informationen in der Finanzplanung gehören nicht zu den harten Fakten?</t>
  </si>
  <si>
    <t>Angaben zur Lebensversicherung</t>
  </si>
  <si>
    <t>Familienstand</t>
  </si>
  <si>
    <t>Verbindlichkeiten wie Hypotheken</t>
  </si>
  <si>
    <t>Risikotoleranz</t>
  </si>
  <si>
    <t xml:space="preserve">Was sind die möglichen Kundenziele in der Finanzplanung? </t>
  </si>
  <si>
    <t>Sparen für den Kauf eines Hauses</t>
  </si>
  <si>
    <t>Reserven für Schulgeld</t>
  </si>
  <si>
    <t>Reserven für Ersatzbeschaffungen (Auto)</t>
  </si>
  <si>
    <t>Rücklagen für Studiengebühren</t>
  </si>
  <si>
    <t>Ein Anleger hat eine Direktinvestition in eine Aktie getätigt. Mit welcher Position am Optionsmarkt kann er sein Risiko reduzieren (Risikopuffer) und gleichzeitig die Rendite bei einer Seitwärtsbewegung des Aktienkurses erhöhen ?</t>
  </si>
  <si>
    <t>Welche Aussage(n) zur Vermögensverwaltung ist (sind) richtig?</t>
  </si>
  <si>
    <t>Eine Benchmark sollte über die Dauer einer Vermögensverwaltung konstant bleiben.</t>
  </si>
  <si>
    <t>Die Benchmarks sollten mit der gesamten Vermögensallokation übereinstimmen, stets überprüft und ggf. geändert werden.</t>
  </si>
  <si>
    <t>Eine Veränderung der Marktvolatilität sollte keinen Einfluss auf die Vermögensverwaltung haben.</t>
  </si>
  <si>
    <t>Die Veränderung der persönlichen Situation eines Anlegers kann zu großen Veränderungen in der Vermögensverwaltung führen.</t>
  </si>
  <si>
    <t>Welche Aussage in Bezug auf verschiedene Faktoren am Terminmarkt ist richtig?</t>
  </si>
  <si>
    <t>Mit zunehmender Unsicherheit über die zukünftige Preisentwicklung nehmen die Handelsaktivitäten am Terminmarkt in der Regel ab.</t>
  </si>
  <si>
    <t>Mit zunehmender Unsicherheit über die zukünftige Preisentwicklung nehmen die Handelsaktivitäten an den Terminmärkten in der Regel zu</t>
  </si>
  <si>
    <t>Die Volatilität ist eine Voraussetzung für den Optionshandel.</t>
  </si>
  <si>
    <t>Je höher die Volatilität ist, desto niedriger sind die Optionspreise.</t>
  </si>
  <si>
    <t>Wie heißt die Handelsstrategie, die darauf abzielt, Preisunterschiede zwischen Spot und Futures auszunutzen ?</t>
  </si>
  <si>
    <t>Welche Regel der International Accounting Standards (IAS) beschreibt, wie Derivate zu bewerten sind?</t>
  </si>
  <si>
    <t>Arbitrage</t>
  </si>
  <si>
    <t>Hedge</t>
  </si>
  <si>
    <t>1AS39</t>
  </si>
  <si>
    <t>DIN A 4</t>
  </si>
  <si>
    <t>ISO 4478</t>
  </si>
  <si>
    <t>ABC</t>
  </si>
  <si>
    <t>MiFID</t>
  </si>
  <si>
    <t>PRA</t>
  </si>
  <si>
    <t>SEC</t>
  </si>
  <si>
    <t>FCA</t>
  </si>
  <si>
    <t>Welche Art der Bewertung ist für Derivate nach IAS39 richtig?</t>
  </si>
  <si>
    <t>Anschaffungskosten</t>
  </si>
  <si>
    <t>Durchschnittskosten</t>
  </si>
  <si>
    <t>Der höhere Wert aus Anschaffungskosten und beizulegendem Zeitwert</t>
  </si>
  <si>
    <t>5 Kontrakte mit 3131</t>
  </si>
  <si>
    <t>15 Kontrakte mit 3128</t>
  </si>
  <si>
    <t>20 Kontrakte mit 3128</t>
  </si>
  <si>
    <t xml:space="preserve">𝐴𝑃 = 𝐵𝑀𝑄 × 𝐿𝑜𝑃 + 𝐵𝐿𝑄 × 𝐻𝑖𝑃 + 𝑆𝐿𝑄 × 𝐿𝑜𝑃 + 𝑆𝑀𝑄 × 𝐻𝑖𝑃 / 𝐵𝑀𝑄 + 𝐵𝐿𝑄 + 𝑆𝐿𝑄 + 𝑆𝑀𝑄  = (5 × 3128.0 + 20 × 3131.0 + 15 × 3128.0 + 10 × 3131.0) / (5+20+15+10) = 3129.8 </t>
  </si>
  <si>
    <t>24 Kontrakte zu 5211,0</t>
  </si>
  <si>
    <t>6 Kontrakte zu 5210,0</t>
  </si>
  <si>
    <t>3 Kontrakte zu 5211,0</t>
  </si>
  <si>
    <t>9 Kontrakte zu 5210,0</t>
  </si>
  <si>
    <t>Keine Ausführung</t>
  </si>
  <si>
    <t>11 Kontrakte zu 5213,0</t>
  </si>
  <si>
    <t>29 Kontrakte zu 5213,0</t>
  </si>
  <si>
    <t>1 Kontrakt zu 5260,0</t>
  </si>
  <si>
    <t>7 Kontrakte zu 23,1</t>
  </si>
  <si>
    <t>5 Kontrakte zu 22,6</t>
  </si>
  <si>
    <t>7 Kontrakte zu 22,1</t>
  </si>
  <si>
    <t>2 Kontrakte zu 22,1</t>
  </si>
  <si>
    <t>7 Kontrakte zu 11,0</t>
  </si>
  <si>
    <t>7 Kontrakte zu 10,5</t>
  </si>
  <si>
    <t>7 Kontrakte zu 10</t>
  </si>
  <si>
    <t>17 Kontrakte zu 3,15</t>
  </si>
  <si>
    <t>2 Kontrakte zu 3,16</t>
  </si>
  <si>
    <t>1 Kontrakt zu 4,05</t>
  </si>
  <si>
    <t>20 Kontrakte zu 4,05</t>
  </si>
  <si>
    <t>20 Kontrakte zu 3,16</t>
  </si>
  <si>
    <t>20 Kontrakte zu 4,08</t>
  </si>
  <si>
    <t xml:space="preserve">20 Kontrakte zu 4,11 </t>
  </si>
  <si>
    <t>Kauf 33 Kontrakte ohne Limit (Market Order)</t>
  </si>
  <si>
    <t>Kauf 40 Kontrakte zu 111,17</t>
  </si>
  <si>
    <t>Kaufe 40 Kontrakte zu 111,18</t>
  </si>
  <si>
    <t>Kauf 40 Kontrakte zu 111,19</t>
  </si>
  <si>
    <t>Kauf von 10 Kontrakten zu 6642,0</t>
  </si>
  <si>
    <t>Kauf von 10 Kontrakten zu 6635,0</t>
  </si>
  <si>
    <t>Verkaufen Sie 5 Kontrakte zu 6634,0</t>
  </si>
  <si>
    <t>Verkaufen Sie 5 Kontrakte zu 6635,0</t>
  </si>
  <si>
    <t>22 Kontrakte zu 0,91</t>
  </si>
  <si>
    <t>7 Kontrakte zu 0,89</t>
  </si>
  <si>
    <t xml:space="preserve">5 Kontrakte zu 0,90 </t>
  </si>
  <si>
    <t>7 Kontrakte zu 4011,0</t>
  </si>
  <si>
    <t>1 Kontrakte zu 4006,0</t>
  </si>
  <si>
    <t>1 Kontrakte zu 4010,0</t>
  </si>
  <si>
    <t>Wie wird eine neu eingehende Kauf-Market Order im fortlaufenden Handel über 30 Future- Kontrakte ausgeführt? Es gilt Preis-/Zeitpriorität und die Market Order Matching Range beträgt 10 Punkte. 
(Size|Bid|  Ask  |Size) 
(   -  |  -  |12.510|6) 
(   -  |  -  |12.511|3)
 (  -  |  -  |12.513|9)</t>
  </si>
  <si>
    <t>Wie wird eine neu eingehende Kauf-Limit Order im fortlaufenden Handel über 6 Future-Kontrakte mit einem Limit von 12518 ausgeführt? Es gilt Preis-/Zeitpriorität und die Market Order Matching Range beträgt 10 Punkte. Der letzte Preis ist 12.511.  
(Size|Bid|  Ask  |Size)
( 30 | M |12.510|6) 
(   -  |  -  |12.511|3) 
(   -  |  -  |12.513|9)</t>
  </si>
  <si>
    <t>Wie wird eine neu eingehende Kauf-Limit Order im fortlaufenden Handel über 20 Optionskontrakte mit einem Limit von 4,11 ausgeführt? Es gilt Preis-/Zeitpriorität und der letzte Preis ist 4,08. 
(Size|Bid|  Ask  |Size)
(   -  |   -  |   M   |20)
(   -  |   -  | 3.16 | 20)
(   -  |   -  | 3.17 |20)</t>
  </si>
  <si>
    <t>Welcher Auktionspreis wird für das folgende Orderbuch ermittelt und wieviele Kontrakte werden ausgeführt? Die minimale Preisveränderung beträgt 1 Punkt. 
(Size |  Bid  |  Ask  |Size) 
(   5  |    M   |   M   | 10) 
(  20 | 3131 | 3128 | 15)  
(  25 | 3127 | 3132 |10)</t>
  </si>
  <si>
    <t>Welcher Auktionspreis wird für das folgende Orderbuch ermittelt und wieviele Kontrakte werden ausgeführt? Die minimale Preisveränderung beträgt 0,5 Punkt. 
(Size |     Bid    |     Ask | Size)  
(   2   |     M     |     M    | 5) 
(   5   | 12.500 | 12.499 | 15)  
(  10  | 12.497 |      -      |  - )</t>
  </si>
  <si>
    <t>Wie wird eine neu eingehende Verkaufs-Limit Order im fortlaufenden Handel über 100 Kontrakte mit einem Limit von 3123 ausgeführt? Es gilt Preis-/Zeitpriorität. 
(Size |   Bid  |     Ask    |Size) 
(  30  | 3125 | 3125,50 | 12) 
(  30  | 3124 |       -       | - )  
(  50  | 3123 |       -       | - )</t>
  </si>
  <si>
    <t>Einer eingehenden Order im fortlaufenden Handel über 25 Kontrakte stehen die folgenden drei Orders ausführbar gegenüber. Wie erfolgt die Zuteilung im Pro-Rata Matching? Die Reihenfolge der Orders entspricht ihrer Zeitpriorität. (Order 1 | 20 Kontrakte  )  
(Order 2 | 20 Kontrakte  )  
(Order 3 | 50 Kontrakte  )</t>
  </si>
  <si>
    <t>(Size|   Bid  |   Ask |Size) 
(  5   |   M    |    M  | 10) 
( 20  | 3131 | 3128 | 15 )  
( 25  | 3127 | 3132 | 10 ) Die beiden Ziele Uncrossing und Preiskontinuität werden im Preiskorridor 3128 – 3131 erreicht. Bei einem Preis kleiner als 3128 können nur noch 10 Kontrakte ausgeführt werden. Damit kann die Kauforder Limit 3131 nicht vollständig ausgeführt werden und das Orderbuch ist nach wie vor gekreuzt. Bei einem Preis größer als 3131 ist nur noch die Kauf-Market Order über 5 Kontrakte ausführbar. Das Orderbuch ist ebenfalls noch gekreuzt.</t>
  </si>
  <si>
    <t>(Size|  Bid   |  Ask   |Size) 
(  7 | 5209,5 | 5210,0 | 6 ) 
(  4 | 5208,0 | 5211,0 | 3 )  
(  9 | 5207,0 | 5211,5 | 9 )  Welche Ausführung(en) ergeben sich u.a., wenn in der Trading-Periode für einen DAX-Future-Kontrakt die folgende Order in das Orderbuch eingegeben wird: Kauf von 24 Kontrakten zu 5211,0?</t>
  </si>
  <si>
    <t>(Size| Bid |   Ask  |Size) 
(  - |  -  | 5210,0 | 6 ) 
(  - |  -  | 5211,0 | 3 )  
(  - |  -  | 5211,5 | 9 ) 
(  - |  -  | 5213,0 | 11) 
(  - |  -  | 5260,0 | 1 )  Welche Ausführung(en) ergeben sich u.a., wenn in der Trading-Periode für einen FDAX-Kontrakt folgende Order in das Orderbuch eingegeben wird: Kauf von 30 Kontrakten zum Markt? Der letzte Handelspreis für den entsprechenden FDAX-Kontrakt war 5210,0 und die Market Order Matching Range beträgt 10 Punkte.</t>
  </si>
  <si>
    <t>(Size|  Bid  |  Ask |Size) 
(  4 |  22,0 | 22,1 | 2 ) 
(  2 |  21,5 | 22,6 | 8 )  
(  7 |  21,4 | 23,1 | 14) 
(  - |   -   | 24,0 | 23)   Welche Ausführung(en) ergibt/ergeben sich unter anderem, wenn in der Trading-Periode für einen DAX-Optionskontrakt folgende Order in das Orderbuch eingegeben wird: Kauf von 7 Kontrakten zu 23,1?</t>
  </si>
  <si>
    <t>(Size|   Bid  |Ask|Size) 
(  7 |  11,0  | - | - ) 
(  7 |  10,0  | - | - )  
(  7 |   9,7  | - | - )  Welche Ausführung(en) ergibt/ergeben sich u.a., wenn in der Trading-Periode für einen Optionskontrakt auf Aktien der Deutschen Telekom AG folgende Order in das Orderbuch eingegeben wird: Verkauf von 7 Kontrakten am Markt? Der letzte Handelspreis für den Optionskontrakt war 10,5 und es befinden sich nur Orders und keine Quotes im angezeigten Orderbuch.</t>
  </si>
  <si>
    <t>(Size |  Bid  |  Ask  |Size) 
(  7  |  3,11 |  3,15 | 17 ) 
(  -  |   -   |  3,16 | 2 )  
(  -  |   -   |  4,05 | 30 )  Welche Ausführung(en) ergibt/ergeben sich unter anderem, wenn die folgende Order eingegeben wird in das folgende Orderbuch für einen Optionskontrakt auf Nokia-Aktien in der Handelsperiode eingegeben wird: Kauf von 20 Kontrakten zu 4,11? Der letzte Handelspreis für den Optionskontrakt war 4,08.</t>
  </si>
  <si>
    <t>(Size | Bid |  Ask |Size) 
(  -  |  -  |   M  | 20 ) 
(  -  |  -  | 3,16 | 20 ) Welche Ausführung(en) ergibt/ergeben sich, neben andere, wenn der folgende Auftrag eingegeben wird in das folgende Orderbuch für einen Optionskontrakt auf Nokia-Aktien in der Handelsperiode: Kauf von 20 Kontrakten zu 4.11? Der letzte Handelspreis für den Optionskontrakt war 4,08.</t>
  </si>
  <si>
    <t>(Size |   Bid  |  Ask   |Size) 
(  10 | 111,09 | 111,12 | 6 ) 
(  16 | 111,08 | 111,14 | 9 ) 
(  -  |    -   | 111,16 | 18 ) 
(  -  |    -   | 111,19 | 10 )  Die Eingabe welcher Order löst bei folgendem Orderbuch für einen Euro-BUND-Future die folgende Stop-Order im Orderbuch aus: Kauf 20 mit Triggerpreis von 111,17?</t>
  </si>
  <si>
    <t>(Size |   Bid  |  Ask   |Size) 
(  10 | 6633,0 | 6634,0 | 6 ) 
(  5  | 6632,0 | 6637,0 | 12 ) 
(  3  | 6630,0 | 6642,0 | 18 )  Die Eingabe welcher Order löst bei folgendem Orderbuch für einen SMI-Future-Kontrakt die folgende Stop-Order im Orderbuch aus: Verkauf 20 mit einem Triggerpreis von 6634? Der letzte Preis für diesen SMI-Futures-Kontrakt war 6640,0.</t>
  </si>
  <si>
    <t>(Size|  Bid |  Ask |Size) 
(  10| 0,91 | 0,96 | 12 ) 
(  5 | 0,90 | 0,97 | 5 ) 
(  7 | 0,89 |   -  | - ) 
(  5 | 0,88 |   -  | - )  Welche Ausführung(en) ergibt/ergeben sich, neben andere, wenn der folgende Auftrag eingegeben wird in das folgende Orderbuch für einen Optionskontrakt auf Euro BUND Futures in der Handelsperiode: Verkauf von 30 Kontrakten zu 0,89? Der letzte Handelspreis für den Optionskontrakt war 0,83.</t>
  </si>
  <si>
    <t xml:space="preserve">(Size|   Bid  |  Ask  |Size) 
(  2 | 4004,0 | 4006,0 | 1 ) 
(  2 | 4003,0 | 4007,0 | 3 ) 
(  1 | 3999,0 | 4009,0 | 2 ) 
(  - |    -   | 4010,0 | 5 ) 
(  - |    -   | 4011,0 | 7 )  Welche Ausführung(en) ergibt/ergeben sich, neben andere, wenn der folgende Auftrag eingegeben wird in das folgende Orderbuch für einen Optionskontrakt auf Euro Stoxx 50 Futures in der Handelsperiode: Kauf von 7 Kontrakten zu 4011,0 mit der Beschränkung IOC? </t>
  </si>
  <si>
    <t>Futures-Positionen können mit der Zahlung einer Initial Margin (oder Additional Margin) eingeleitet werden, die deutlich unter dem Preis für die entsprechende Kassamarktposition liegt</t>
  </si>
  <si>
    <t>Ist das Aktuell?</t>
  </si>
  <si>
    <t>Bei Flex-Optionen haben die Handelspartner die Möglichkeit, während der Laufzeit der Option Teile der Kontraktspezifikationen zu ändern und an die aktuellen Marktbedingungen anzupassen</t>
  </si>
  <si>
    <t>Fair Value (Marktwert)</t>
  </si>
  <si>
    <t>Wie heißt die europäische Richtlinie, die bereits 2004 beschlossen wurde und dann bis November 2007 in die jeweiligen nationalen Gesetze umgesetzt werden musste (Abkürzung)?</t>
  </si>
  <si>
    <t>Kauf eines Versicherungsschutzes mit Selbstbeteiligung</t>
  </si>
  <si>
    <t>Verkauf des Versicherungsschutzes mit Selbstbeteiligung</t>
  </si>
  <si>
    <t>können Absicherungen individueller gestaltet werden als beim Einsatz von börsengehandelten Derivaten.</t>
  </si>
  <si>
    <t>können keine Gebühren anfallen.</t>
  </si>
  <si>
    <t>Recoveryrate</t>
  </si>
  <si>
    <t xml:space="preserve">Die modifizierte Duration einer Anleihe ist -3,12, der Kupon beträgt 8% und die Restlaufzeit 8 Jahre. Um wie viel Prozent wird der Preis dieser Anleihe steigen, wenn die Rendite um 1,00 % sinkt?  </t>
  </si>
  <si>
    <t xml:space="preserve"> 3.12	</t>
  </si>
  <si>
    <t xml:space="preserve"> 6.24	</t>
  </si>
  <si>
    <t xml:space="preserve"> 1.56</t>
  </si>
  <si>
    <t>0.0</t>
  </si>
  <si>
    <t>5272.0</t>
  </si>
  <si>
    <t>5222.0</t>
  </si>
  <si>
    <t>5292.0</t>
  </si>
  <si>
    <t>5252.0</t>
  </si>
  <si>
    <t>Bei einer Bermuda-Option hat der Inhaber das Recht,...</t>
  </si>
  <si>
    <t>während der gesamten Laufzeit der Option auszuüben</t>
  </si>
  <si>
    <t>auf den Bermuda-Inseln auszuüben</t>
  </si>
  <si>
    <t>zu bestimmten Terminen auszuüben</t>
  </si>
  <si>
    <t>am Ende der Laufzeit auszuüben</t>
  </si>
  <si>
    <t>Auswahl</t>
  </si>
  <si>
    <t>Erklärung</t>
  </si>
  <si>
    <t>Mezzanine</t>
  </si>
  <si>
    <t>Quiz mit Beispielaufgaben</t>
  </si>
  <si>
    <t>Welche Aussage zu T-Bills (Treasury Bills) ist richtig?</t>
  </si>
  <si>
    <t xml:space="preserve">Analog in Deutschland: Bubills (Geldmarktpapiere des Bundes) mit 6 Monaten Laufzeit (T-Bills &lt; 1 Jahr) </t>
  </si>
  <si>
    <t>STIR: "short-term interest rate" u. a. Eurex-EONIA- und -EURIBOR-Derivate.</t>
  </si>
  <si>
    <t>Die Zinsberechnungsmethode wird im Rahmenvertrag definiert und ist für die beiden Zinszahlungen häufig unterschiedlich. Der Festzins wird mit 30/360 und der variable Zins act/360 berechnet.</t>
  </si>
  <si>
    <t>Gewichtung nach Marktkapitalisierung (“Free Float”)</t>
  </si>
  <si>
    <t>Dax ist ein Performance Index im Gegensatz zu Stoxx 50</t>
  </si>
  <si>
    <t>Cash-and-Carry Arbitrage-Positionen im Terminmarkt sind wegen der täglichen Gewinn- und Verlustabrechnungen für den Investor ohne jedes Risiko.</t>
  </si>
  <si>
    <t>Transaktionskosten sind bei OTC-Derivaten häufig transparenter als bei börsengehandelten Derivaten.</t>
  </si>
  <si>
    <t>Die Möglichkeit zur Auflösung von Absicherungsstrategien ist bei börsengehandelten, liquiden Futures-Kontrakten häufig besser als bei OTC- Derivaten.</t>
  </si>
  <si>
    <t>Bei der Nutzung von zentral geclearten Derivaten zur Absicherung ist das Kontrahentenrisiko niedriger.</t>
  </si>
  <si>
    <t>Die Preiskonstellation zwischen dem Preis des Basiswertes und dem entsprechenden Future-Preis zeichnet sich durch eine negative Basis aus. In welchen Fällen ist mit einer Verringerung der Carry-Basis zu rechnen?</t>
  </si>
  <si>
    <t>Bei Constant Maturity Swaps wird ein variabler Zinssatz (z. B. 6-Monats-EURIBOR) gegen einen variablen längerfristigen Zinssatz, der regelmäßig angepasst wird, getauscht (z.B. 5- oder 10-Jahres-Swapsatz).</t>
  </si>
  <si>
    <t>Folgende Parameter des Fixed Income Futures ändern sich bei einem Wechsel der Cheapest-to-deliver (CTD):</t>
  </si>
  <si>
    <t>Ein Investor verfügt über ein diversifiziertes Rentenportfolio mit einem Nominalwert von EUR 17.000.000,00 und einem Marktwert von EUR 16.500.000,00. Der Basispunktwert des gesamten Portfolios entspricht EUR 4.400,00. Der aktuelle Eurex Euro-Bund-Future-Kontrakt hat einen Basispunktwert von EUR 0,02933 pro EUR 100,00 Nominalwert. Der Euro-Bund- Future-Kontrakt notiert bei 154,20. Wie hoch ist die optimale Anzahl der zu Absicherungszwecken zu verkaufenden Euro-Bund- Future-Kontrakte?</t>
  </si>
  <si>
    <t>Ein Anleger hat Eurex Euro-Bund Futures zu 156,70 gekauft. Bei Börsenschluss beträgt der Abrechnungspreis des Euro-Bund Futures 155,40. Wie viele Kontrakte hält der Anleger, wenn er einen Verlust in Höhe von EUR 84.500,00 erleidet (ohne Berücksichtigung von Transaktionskosten)?</t>
  </si>
  <si>
    <t>Eine Box-Position besteht aus einer Konversion zu einem Ausübungspreis und einem Reversal zu einem anderen Ausübungspreis.</t>
  </si>
  <si>
    <t>Die zweite Ableitung nach dem Preis des Basiswerts einer Option heißt</t>
  </si>
  <si>
    <t>Wenn ein Off-Book-Geschäft über den T7 Entry Service (TES-Geschäft) zustande kommen soll, müssen die TES-Angebotsbedingungen innerhalb von 15 Minuten nach der Einigung darüber, das Geschäft an der Eurex Deutschland abzuschließen, in das System der Eurex Deutschland eingegeben werden.</t>
  </si>
  <si>
    <t>Die Bestätigung der TES-Angebotsbedingungen durch den Kontrahenten muss innerhalb von 15 Minuten nach der Eingabe erfolgen.</t>
  </si>
  <si>
    <t>Die Instrumente ODAX Jun19 und ODAX Sep19 gehören zum Produkt ODAX.</t>
  </si>
  <si>
    <t>Clearinghäuser legen Minimumbeiträge zum Ausfallfonds fest. Die tatsächliche Höhe des Beitrags richtet sich nach den Risikopositionen des jeweiligen Clearing-Mitglieds.</t>
  </si>
  <si>
    <t>General-Clearing-Mitglieder sind ausschließlich zur Erfüllung von Verbindlichkeiten verpflichtet, die sich aus Eigentransaktionen ihrer Börsenhändler ergeben.</t>
  </si>
  <si>
    <t>Der Käufer einer Option (Premium Styled-Option) ist nicht verpflichtet Sicherheiten zu hinterlegen, da nach Zahlung der vollen Optionsprämie kein Risiko mehr besteht, dass Vertragspflichten nicht erfüllt werden.</t>
  </si>
  <si>
    <t>Limit</t>
  </si>
  <si>
    <t>Welche der folgenden Bereiche der Marktmikrostruktur wurden durch MiFID II/MiFIR EU-weit einheitlich geregelt?</t>
  </si>
  <si>
    <t>Market Making</t>
  </si>
  <si>
    <t>Tick-Größen</t>
  </si>
  <si>
    <t>Sicherungsmechanismen der Handelsplätze</t>
  </si>
  <si>
    <t>Welche Aussage zur European Market Infrastructure Regulation (EMIR) ist richtig?</t>
  </si>
  <si>
    <t>Ausschließlich außerbörslich abgeschlossene Derivatetransaktionen müssen an ein zentrales Transaktionsregister gemeldet werden.</t>
  </si>
  <si>
    <t>Alle standardisierten OTC-Derivatekontrakte müssen über zentrale Gegenparteien verrechnet werden.</t>
  </si>
  <si>
    <t>Nur standardisierte OTC-Zinsswaps müssen über zentrale Gegenparteien verrechnet werden.</t>
  </si>
  <si>
    <t>Nur börslich abgeschlossenen Derivatetransaktionen mit einem Nominalvolumen über 10.000.000 € müssen an ein zentrales Transaktionsregister gemeldet werden.</t>
  </si>
  <si>
    <t>Welche der folgenden Bereiche in Bezug auf den Anlegerschutz sind durch MiFIDII/MiFIR geregelt?</t>
  </si>
  <si>
    <t>Vorschriften zur Produktüberwachung</t>
  </si>
  <si>
    <t>Ausführung von Aufträgen (Orders) für Kunden</t>
  </si>
  <si>
    <t>Unabhängige Anlageberatung</t>
  </si>
  <si>
    <t>Aufzeichnung der Kommunikation mit Kunden</t>
  </si>
  <si>
    <t>Weiterführende Dienstleistungen im Nachhandel wie das Depotgeschäft der Banken sind nicht von den Regelungen in MiFIDII/MiFIR betroffen.</t>
  </si>
  <si>
    <t>Finanzinstrumente des Geldmarktes fallen nicht unter die Regelungen der MiFIDII/MiFIR.</t>
  </si>
  <si>
    <t>Ein Anleger erwartet steigende Volatilität im DAX-Index bei ebenfalls steigendem Marktniveau. Mit welcher Handelsstrategie kann er von seiner Erwartung profitieren?</t>
  </si>
  <si>
    <t>Bull Call Spread DAX-Option</t>
  </si>
  <si>
    <t>Long Butterfly DAX-Option</t>
  </si>
  <si>
    <t>Welche der folgenden Positionen haben negative Deltas?</t>
  </si>
  <si>
    <t>Mit welcher Position kann eine Short Euro-BOBL-Future-Position synthetisch aufgebaut werden?</t>
  </si>
  <si>
    <t>Short Anleihe und Geldaufnahme</t>
  </si>
  <si>
    <t>Short CTD-Anleihe und Geldanlage</t>
  </si>
  <si>
    <t>Long Anleihe und Geldanlage</t>
  </si>
  <si>
    <t>Eine Long-Position in einem Euro STOXX 50® Portfolio kann durch eine Long-Position im Euro STOXX 50 Future und Geldanlage synthetisch aufgebaut werden.</t>
  </si>
  <si>
    <t>Welches Attribut ist für eine Eigenhandelsorder nicht  verpflichtend?</t>
  </si>
  <si>
    <t>Der Schlussabrechnungspreis des Euro-BUND-Futures beträgt 105,00, geliefert wird die CTD-Anleihe mit einem Marktpreis von 102,50 und einem Konvertierungsfaktor von 0,98. Die Stückzinsen betragen EUR 2,45. Wie hoch ist der Gewinn bzw. Verlust pro Kontrakt bei der Lieferung der CTD-Anleihe (unter Vernachlässigung etwaiger Gebühren)?</t>
  </si>
  <si>
    <t>(105,00 x 0,98 +2,45 ) x 1000 - (102,50 + 2,45) x 1000 = 400 EUR</t>
  </si>
  <si>
    <t>Belastung = Differenz aus Gewinn und Verlust --&gt; -11.750 = (3941-3840)*10*50 - X --&gt; x = 50.500 + 11.750 = 62.250 --&gt; Geteilt durch 20 Kontrakte --&gt; Geteilt durch 25 Euro pro Tick --&gt; +5147,5 = 5272</t>
  </si>
  <si>
    <t>Beide Einzelpositionen:  Verkauf CONF (119,25)*1000*18 = +2146,5 und Kauf (119,25+(0,01*35) =119,60)*1000*(-15)  = -1794 und  Kauf (119,25+(0,01*36) =119,61)*1000*(-3)  = -358,83 --&gt; Differenz - 6330 EUR</t>
  </si>
  <si>
    <t>25 EUR</t>
  </si>
  <si>
    <t>Seit 2021 beträgt der Tick ebenfalls 1,0 mit einem Tick Value von 25Eur</t>
  </si>
  <si>
    <t>Stand März 2021: neue Quotes können nicht mit ToB eingegeben werden</t>
  </si>
  <si>
    <t>"On-behalf-of"-Aufträge können nur Good-for-Day (GFD) eingegeben werden. Quelle: Slides von Frau Meder</t>
  </si>
  <si>
    <t>Nach Slides können Quotes nicht gelöscht werden, aber nach Handbuch schon</t>
  </si>
  <si>
    <t>Multiplier</t>
  </si>
  <si>
    <t>Future at 1040 und Basiswert at 990 --&gt; (1040/990)-1=0,0505 (F = S x (1 + r/n ) --&gt;1 + r/n = F/S )</t>
  </si>
  <si>
    <t>Ein Anleger hat 15 Euro Stoxx-Futures zu 2.925 gekauft. Am Verfallstag beträgt der Schlussabrechnungspreis 2.950. Wie hoch ist sein Gewinn (unter Vernachlässigung aller Gebühren)?</t>
  </si>
  <si>
    <t>Ein Anleger hält eine Short-Position von 14 Eurex Euro stoxx -Futures. Er stellt seine Position zu 3087 glatt und erzielt dabei einen Gewinn in Höhe von EUR 4.760,00. Zu welchem Preis hatte er ursprünglich die Futures verkauft (ohne Berücksichtigung von Gebühren)?</t>
  </si>
  <si>
    <t>Vorzugsaktien haben kein Stimmrecht</t>
  </si>
  <si>
    <t>Pass</t>
  </si>
  <si>
    <t>Fallender Preis für  Put --&gt; steigender Aktienkurs des Underlying --&gt; positive Auswirkung auf Short Put</t>
  </si>
  <si>
    <t>Für eine identische Laufzeit ist der Euro-Zins höher als der entsprechende US-Zins. Der Devisenterminkurs des Euro (in USD) ist höher als der Devisen-Spotkurs.</t>
  </si>
  <si>
    <t xml:space="preserve">Kombination </t>
  </si>
  <si>
    <t xml:space="preserve">Struktur </t>
  </si>
  <si>
    <t xml:space="preserve">Bull Call Spread </t>
  </si>
  <si>
    <t xml:space="preserve">Gleicher Verfalltermin </t>
  </si>
  <si>
    <t xml:space="preserve">Bear Call Spread </t>
  </si>
  <si>
    <t xml:space="preserve">Bull Put Spread </t>
  </si>
  <si>
    <t xml:space="preserve">Bear Put Spread </t>
  </si>
  <si>
    <t xml:space="preserve">Straddle </t>
  </si>
  <si>
    <t xml:space="preserve">Strangle </t>
  </si>
  <si>
    <t xml:space="preserve">Time Spread </t>
  </si>
  <si>
    <t xml:space="preserve">Butterfly (Calls) </t>
  </si>
  <si>
    <t xml:space="preserve">E1 &lt; E2 &lt; E3 Gleicher Verfalltermin </t>
  </si>
  <si>
    <t xml:space="preserve">Butterfly (Puts) </t>
  </si>
  <si>
    <t xml:space="preserve">Long 1 Call mit E1 
Short 1 Call mit E2 </t>
  </si>
  <si>
    <t xml:space="preserve">Short 1 Call mit E1 
Long 1 Call mit E2 </t>
  </si>
  <si>
    <t xml:space="preserve">Long 1 Call mit E1 
Long 1 Put mit E1 </t>
  </si>
  <si>
    <t xml:space="preserve">Long 1 Call mit E1 
Long 1 Put mit E2 </t>
  </si>
  <si>
    <t xml:space="preserve">Short 1 Call mit kürzerer Laufzeit und E1 
Long 1 Call mit längerer Laufzeit und E1 </t>
  </si>
  <si>
    <t xml:space="preserve">Long 1 Call mit E1 
Short 2 Calls mit E2 
Long 1 Call mit E3 </t>
  </si>
  <si>
    <t xml:space="preserve">Long 1 Put mit E1 
Short 2 Puts mit E2 
Long 1 Put mit E3 </t>
  </si>
  <si>
    <r>
      <t>E1</t>
    </r>
    <r>
      <rPr>
        <sz val="10"/>
        <color theme="1"/>
        <rFont val="SymbolMT"/>
      </rPr>
      <t xml:space="preserve"> </t>
    </r>
    <r>
      <rPr>
        <sz val="10"/>
        <color theme="1"/>
        <rFont val="ArialMT"/>
      </rPr>
      <t xml:space="preserve">E2
Gleicher Verfalltermin </t>
    </r>
  </si>
  <si>
    <t xml:space="preserve">E1 &lt; E2
Gleicher Verfalltermin </t>
  </si>
  <si>
    <t>Maximales Risiko</t>
  </si>
  <si>
    <t>Maximaler Ertrag</t>
  </si>
  <si>
    <t>Break-Even-Punkt€</t>
  </si>
  <si>
    <t>Differenz der Ausübungspreise minus erhaltene Prämie</t>
  </si>
  <si>
    <t>Long: Gezahlte Prämie
Short: Unbegrenzt</t>
  </si>
  <si>
    <t>Long: Unbegrenzt
Short: Erhaltene Prämie</t>
  </si>
  <si>
    <t>Long: Gezahlte Prämie
Short: nicht feststellbar</t>
  </si>
  <si>
    <t>Long: Gezahlte Nettoprämie
Short: E2 - E1 minus erhaltene Nettoprämie</t>
  </si>
  <si>
    <t>Long: E2 - E1 minus gezahlte Nettoprämie
Short: Erhaltene Nettoprämie</t>
  </si>
  <si>
    <t>Differenz der
Ausübungspreise minus gezahlte Prämie</t>
  </si>
  <si>
    <t>Erhaltene Prämie</t>
  </si>
  <si>
    <t>Differenz der Ausübungspreise minus gezahlte Prämie</t>
  </si>
  <si>
    <t>Long: nicht feststellbar
Short: Erhaltene Prämie</t>
  </si>
  <si>
    <t>Collar</t>
  </si>
  <si>
    <t>Long Aktie
Long Put mit E1
Short Call mit E2</t>
  </si>
  <si>
    <t>Bedingung</t>
  </si>
  <si>
    <t>Cheat Sheet Optionen</t>
  </si>
  <si>
    <t>Niedrigerer Ausübungspreis plus gezahlte Prämie</t>
  </si>
  <si>
    <t>Höherer Ausübungspreis minus erhaltene Prämie</t>
  </si>
  <si>
    <t>Höherer Ausübungspreis plus gezahlte Prämie
Niedrigerer Ausübungspreis minus gezahlte Prämie</t>
  </si>
  <si>
    <t>Nicht feststellbar</t>
  </si>
  <si>
    <t>E1 plus/E3 minus Nettoprämie</t>
  </si>
  <si>
    <t>Short Aktie
Long Call mit E1
Short Put mit E1</t>
  </si>
  <si>
    <t>Long Aktie
Short Call mit E1
Long Put mit E1</t>
  </si>
  <si>
    <t>Box Arbitrage</t>
  </si>
  <si>
    <t>Long Call + Short Put mit E1
Short Call + Long Put mit E2</t>
  </si>
  <si>
    <t xml:space="preserve">Wert = E2 - E1 / (1 + r/n) </t>
  </si>
  <si>
    <t xml:space="preserve"> +C –P  &lt; +U </t>
  </si>
  <si>
    <t xml:space="preserve"> –C +P  &gt; -U </t>
  </si>
  <si>
    <t>Underlying billiger als Synthetic</t>
  </si>
  <si>
    <t>Synthetic billiger als Underlying</t>
  </si>
  <si>
    <t>Aktienpreises minus der erhaltenen Prämie / plus der gezahlten Prämie</t>
  </si>
  <si>
    <t>E2 minus dem aktuellen Aktienpreis plus/minus Nettoprämien</t>
  </si>
  <si>
    <t>E1 minus dem aktuellen Aktienpreis plus/minus Nettoprämien</t>
  </si>
  <si>
    <t>Long: Erhaltene Nettoprämie
Short: E2 - E1 minus erhaltene Nettoprämie</t>
  </si>
  <si>
    <t xml:space="preserve">Basispunktwert- oder Sensitivitäts-Methode: HR = BPVBondPF / BPVFuture = 4.400 / 0,02933 x 1000 = 150.02 Vergleich Nominalwertmethode = 107.00 </t>
  </si>
  <si>
    <t>Modified Duration-Adjusted Futures-äquivalente Methode:  Gegeben ist modifizierte Durationen, Preis und der Konversionsfaktor der CTD-Anleihe → HR = 10,000,000 × 0.6729 × 5.55 / (102.61 × 1000 × 7.0) = 51.99</t>
  </si>
  <si>
    <t>Ein Investor hält ein Portfolio von Anleihen mit einem Marktwert von EUR 10.000.000,00 und einer Laufzeit von 5,55 Jahren. Die CTD-Anleihe hat einen Kurs von 102,61 und einen Konvertierungsfaktor von 0,6729. Der aktuelle Kurs des BUND-Futures liegt bei 154,50. Wie viele Euro-BUND-Futures-Kontrakte sollte der Investor verkaufen, um das Portfolio abzusichern?</t>
  </si>
  <si>
    <t>Futures-äquivalente Methode:  Gegeben ist nur eine modifizierte Duration, Preis und der Konversionsfaktor der CTD-Anleihe → HR = 10,000,000 × 0.6729 / (102.61 × 1000 ) = 65,58 --&gt; 66</t>
  </si>
  <si>
    <t>Basispunktwert-Methode mit CTD: HR = KFctd X BPVbond / BPVfuture = 0,7125 x (20.000/0.75 x 1000) = 19</t>
  </si>
  <si>
    <t>Kassa-äquivalente Methode: HR = MktValueBondPF/ PriceFuture × 1000 × KFCTD = 3.800.000 / (154,26 x 0,6843 x 1000) = 35.998 = 36</t>
  </si>
  <si>
    <t>Ein Investor hält einen Bestand an lieferbaren Bundesanleihen mit einem Nominalwert von EUR 4.000.000,00 und einem Marktwert von EUR 3.800.000,00. Der Euro-BUND-Future-Kontrakt wird mit 154,26 notiert. Wie hoch ist die optimale Anzahl der zu Absicherungszwecken zu verkaufenden Euro-BUND-Future- Kontrakte?</t>
  </si>
  <si>
    <t>Nominalwertmethode: HR = MktValueBondPF/ PriceFuture × 1000 = 3.800.000 / (154,26  x 1000) = 24,64 = 25</t>
  </si>
  <si>
    <t>24</t>
  </si>
  <si>
    <t>25</t>
  </si>
  <si>
    <t>26</t>
  </si>
  <si>
    <t>27</t>
  </si>
  <si>
    <t>Future &gt; Kassa --&gt; negative Basis --&gt; -10 auf -15 vergrößert --&gt; weakening &amp; widening</t>
  </si>
  <si>
    <t>Der Basispunktwert (Basis Point Value, BPV) ist die Wertveränderung einer Anleihe oder eines Portfolios bei einer Veränderung der Rendite um einen Basispunkt (0,01 Prozent).  --&gt; 0,11 entspricht 11 BPV x 1,20 EUR= 13,20 EUR</t>
  </si>
  <si>
    <t>Wer hat typischerweise ein Recht bei einer Puttable Bond?</t>
  </si>
  <si>
    <t>Kontrakte = Beta x (Wert d. Portfolios)/(Index Level x Kontraktgröße(25)) --&gt; Index Level =  11707 --&gt; 11.824,5/11707 -1 = 1%</t>
  </si>
  <si>
    <t>Die Basispreise der Option auf den Euro-BOBL-Future  haben feste Preisabstufungen von 0,25, d.h. 97,00, 97,25, 97,50.</t>
  </si>
  <si>
    <t>Lieferpreis: [FSP von 154,80 x CF von 0,67 = 103,72 plus AI von 0,14 = 103,86] x 1.000 = 103.860,00 -&gt; Einstandskosten: [CTD von 103,95 plus AI von 0,14 = 104,09] x 1.000 = 104.090,00 -&gt; Daher: Verlust von 230,00 € pro Kontrakt (=103.860,00 - 104.090,00) mal 10 Kontrakte, also 2.300,00 € Verlust für den Lieferanten der Anleihe (Short Future).</t>
  </si>
  <si>
    <t>A) Führt zu Netto-Short-Future, B) Short bei 145,00-2,33 = 142,67, Long bei 144,01 =&gt; P/L 142,67 - 144,01 = - 1,34 C) P/L 0,97 - 2,33 = -1,36, D) Erzeugt einen Bear-Put-Spread, aber keine Verrechnung der Position</t>
  </si>
  <si>
    <t>Optionspreise werden in Punkten ausgedrückt, die einen Prozentsatz (.01) des Nennwerts widerspiegeln. Die erhaltene Prämie für 1 Kontrakt entspricht 5,00 (dem Verkaufspreis) x EUR 100.000 x 0,01 oder EUR 5.000,00. Mal 3 Kontrakte = EUR 15.000,00.</t>
  </si>
  <si>
    <t>Differenz 3-Monats-EURIBOR und FRA-Zinssatz: (2,50 % - 2,0 %) = 0,50 % Ausgleichsbetrag: 0,50 % x 10.000.000 € x (Laufzeit FRA in Tagen 90/360) = 12.500 € --&gt; Da der Ausgleichsbetrag vorschüssig, die Zinsen auf die 3-monatige Geldaufnahme allerdings nachschüssig gezahlt werden, muss der Ausgleichsbetrag noch über die Laufzeit des FRA aufgezinst werden: Diskontierter Ausgleichsbetrag: 12.500 € /(1+(2,50 % x (90/360))) = 12.422,36 €</t>
  </si>
  <si>
    <t>Ein Treasurer weiß heute schon, dass er in einem Monat (Hedge-Periode) 10 Mio. € für den Zeitraum von 3 Monaten aufnehmen muss und möchte jetzt schon das Zinsänderungsrisiko eliminieren und den Zinssatz festmachen. Dazu schließt er üblicherweise einen OTC-Vertrag mit seiner Bank zu einem Zinssatz von bspw. 2 Prozent ab. Die Usance schreibt sich FRA 1/4 für 10 Mio. zu 2 Prozent. FRAs werden nicht physisch geliefert, sondern durch Barausgleich erfüllt. Dies bedeutet, dass nach Ablauf der einmonatigen Hedge-Periode der Treasurer ganz normal, losgelöst von dem Grundgeschäft, 10 Mio. € im Geldmarkt aufnimmt. Wie hoch ist die Ausgleichszahlung in Höhe der Differenz zwischen dem im FRA vereinbarten Zinssatz und dem dann gültigen 3 Monats-EURIBOR? Der 3-Monats-EURIBOR beträgt nach einem Monat 2,50 %.</t>
  </si>
  <si>
    <t>Ausübungspreis plus und minus gezahlte Prämie</t>
  </si>
  <si>
    <t>Anzahl der Optionen  = Portfoliowert x Portfolio-Beta (=1) /  Multiplikator x Indexstand = 25.000.000 / 5 x 5.000 = 1000 --&gt; 10 Kontrakte</t>
  </si>
  <si>
    <t>abgezinster Wert!</t>
  </si>
  <si>
    <t xml:space="preserve">Long 1 Put mit E1 
Short 1 Put mit E2 </t>
  </si>
  <si>
    <t xml:space="preserve">Short 1 Put mit E1 
Long 1 Put mit E2 </t>
  </si>
  <si>
    <t>Welche Partei(en) sollte(n) der Händler sofort kontaktieren, wenn er einen Mistrade vermutet?</t>
  </si>
  <si>
    <t>Initial Margin!</t>
  </si>
  <si>
    <t>3 - 9 (Next 3 quarterly months of the Mar. / Jun. / Sep. / Dec. cycle)</t>
  </si>
  <si>
    <t>3 - 6 months
3 nearest calendar months + the following quarterly month of the Mar. / Jun. / Sep. / Dec. Cycle</t>
  </si>
  <si>
    <t>6 (nächsten drei Monate und die darauf folgenden drei Monate im vierteljährlichen Zyklus danach)</t>
  </si>
  <si>
    <t>6 - 72 months
Six nearest months and 22 following quarterly months of the Mar. / Jun. / Sep. / Dec. Cycle</t>
  </si>
  <si>
    <t>At least seven (3,1,3) (Up to 24 months)
More than 24 months: At least five (2,1,2)</t>
  </si>
  <si>
    <t>3 - 9 contract months
next 3 months of March, June, Sept. &amp; Dec.</t>
  </si>
  <si>
    <t>6 - 60 months (3 nearest successive months, 3 following quarterly months (Mar, Jun, Sept, Dec), 4 following semi-annual (Jun/Dec), 2 annual Dec)</t>
  </si>
  <si>
    <t>6  -  24 months
6 nearest calendar months + the following 6 quarterly months of the Mar. / Jun. / Sep. / Dec. Cycle</t>
  </si>
  <si>
    <t>zwei Börsentage vor dem Liefertag des jeweiligen Quartalsmonats. 12:30 pm CET</t>
  </si>
  <si>
    <t>Dritter Freitag eines Verfallmonats, sofern dieser ein Börsentag ist, andernfalls der davorliegende Börsentag</t>
  </si>
  <si>
    <t>Dritter Freitag eines Verfallmonats, sofern dieser ein Börsentag
ist, andernfalls der davorliegende Börsentag</t>
  </si>
  <si>
    <t>𝑃/𝐿 =    𝐹 −  𝑆   −  Costs + Income =   199  - 200   + 8,50 - 9  =  1,50 // Alternativ: Implied Future Price: -0,50€ CC impliziert 200,50€ Future Price --&gt;1,50€ Arbitrage</t>
  </si>
  <si>
    <t>E2 minus dem aktuellen Aktienpreis plus/minus Nettoprämien --&gt; 10 - 0,30 EUR --&gt; 9,70 EUR x 20 x 100 = 19.400</t>
  </si>
  <si>
    <t>2015/2016</t>
  </si>
  <si>
    <t>Reference Number (2019)</t>
  </si>
  <si>
    <r>
      <t xml:space="preserve">Datenbank mit Fragen und Erklärungen zur Vorbereitung auf die Prüfung zum </t>
    </r>
    <r>
      <rPr>
        <b/>
        <sz val="14"/>
        <color theme="1"/>
        <rFont val="Calibri"/>
        <family val="2"/>
        <scheme val="minor"/>
      </rPr>
      <t>Zertifizierten Derivatehändler</t>
    </r>
    <r>
      <rPr>
        <sz val="14"/>
        <color theme="1"/>
        <rFont val="Calibri"/>
        <family val="2"/>
        <scheme val="minor"/>
      </rPr>
      <t xml:space="preserve"> an der Eurex</t>
    </r>
  </si>
  <si>
    <t>Teilnehmer des Seminars "Applied Capital Markets " 2023/24 
nach erfolgreichem Bestehen der ersten (internen) Klausur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</si>
</sst>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2"/>
      <color theme="1"/>
      <name val="Calibri"/>
      <family val="2"/>
      <scheme val="minor"/>
    </font>
    <font>
      <sz val="10"/>
      <color rgb="FF000000"/>
      <name val="Arial"/>
      <family val="2"/>
    </font>
    <font>
      <b/>
      <sz val="10"/>
      <color rgb="FF000000"/>
      <name val="Arial"/>
      <family val="2"/>
    </font>
    <font>
      <b/>
      <i/>
      <sz val="10"/>
      <color rgb="FFA5A5A5"/>
      <name val="Arial"/>
      <family val="2"/>
    </font>
    <font>
      <b/>
      <sz val="10"/>
      <color theme="0"/>
      <name val="Arial"/>
      <family val="2"/>
    </font>
    <font>
      <sz val="8"/>
      <name val="Calibri"/>
      <family val="2"/>
      <scheme val="minor"/>
    </font>
    <font>
      <b/>
      <sz val="12"/>
      <color theme="1"/>
      <name val="Calibri"/>
      <family val="2"/>
      <scheme val="minor"/>
    </font>
    <font>
      <sz val="12"/>
      <color theme="0"/>
      <name val="Calibri"/>
      <family val="2"/>
      <scheme val="minor"/>
    </font>
    <font>
      <i/>
      <sz val="12"/>
      <color theme="1"/>
      <name val="Calibri"/>
      <family val="2"/>
      <scheme val="minor"/>
    </font>
    <font>
      <sz val="10"/>
      <name val="Arial"/>
      <family val="2"/>
    </font>
    <font>
      <sz val="10"/>
      <color rgb="FF000000"/>
      <name val="Calibri"/>
      <family val="2"/>
    </font>
    <font>
      <sz val="14"/>
      <color rgb="FF000000"/>
      <name val="Arial"/>
      <family val="2"/>
    </font>
    <font>
      <b/>
      <sz val="14"/>
      <color rgb="FF000000"/>
      <name val="Arial"/>
      <family val="2"/>
    </font>
    <font>
      <b/>
      <i/>
      <sz val="14"/>
      <color rgb="FFA5A5A5"/>
      <name val="Arial"/>
      <family val="2"/>
    </font>
    <font>
      <b/>
      <sz val="14"/>
      <color theme="0"/>
      <name val="Arial"/>
      <family val="2"/>
    </font>
    <font>
      <sz val="14"/>
      <color theme="1"/>
      <name val="Calibri"/>
      <family val="2"/>
      <scheme val="minor"/>
    </font>
    <font>
      <b/>
      <sz val="14"/>
      <color theme="3"/>
      <name val="Calibri"/>
      <family val="2"/>
      <scheme val="minor"/>
    </font>
    <font>
      <sz val="14"/>
      <color theme="0"/>
      <name val="Calibri"/>
      <family val="2"/>
      <scheme val="minor"/>
    </font>
    <font>
      <sz val="14"/>
      <name val="Arial"/>
      <family val="2"/>
    </font>
    <font>
      <sz val="14"/>
      <color rgb="FF000000"/>
      <name val="Calibri"/>
      <family val="2"/>
    </font>
    <font>
      <i/>
      <sz val="10"/>
      <color theme="1"/>
      <name val="Calibri"/>
      <family val="2"/>
      <scheme val="minor"/>
    </font>
    <font>
      <sz val="14"/>
      <color theme="3"/>
      <name val="Calibri"/>
      <family val="2"/>
      <scheme val="minor"/>
    </font>
    <font>
      <b/>
      <sz val="14"/>
      <color theme="1"/>
      <name val="Calibri"/>
      <family val="2"/>
      <scheme val="minor"/>
    </font>
    <font>
      <b/>
      <sz val="12"/>
      <color theme="0"/>
      <name val="Calibri"/>
      <family val="2"/>
      <scheme val="minor"/>
    </font>
    <font>
      <sz val="12"/>
      <color rgb="FF000000"/>
      <name val="Calibri"/>
      <family val="2"/>
      <scheme val="minor"/>
    </font>
    <font>
      <sz val="10"/>
      <color theme="1"/>
      <name val="ArialMT"/>
    </font>
    <font>
      <sz val="10"/>
      <color theme="1"/>
      <name val="SymbolMT"/>
    </font>
  </fonts>
  <fills count="11">
    <fill>
      <patternFill patternType="none"/>
    </fill>
    <fill>
      <patternFill patternType="gray125"/>
    </fill>
    <fill>
      <patternFill patternType="solid">
        <fgColor rgb="FFD9E2F3"/>
        <bgColor rgb="FFD9E2F3"/>
      </patternFill>
    </fill>
    <fill>
      <patternFill patternType="solid">
        <fgColor theme="0"/>
        <bgColor indexed="64"/>
      </patternFill>
    </fill>
    <fill>
      <patternFill patternType="solid">
        <fgColor theme="3"/>
        <bgColor rgb="FFFFFFFF"/>
      </patternFill>
    </fill>
    <fill>
      <patternFill patternType="solid">
        <fgColor theme="3" tint="0.79998168889431442"/>
        <bgColor indexed="64"/>
      </patternFill>
    </fill>
    <fill>
      <patternFill patternType="solid">
        <fgColor theme="0"/>
        <bgColor rgb="FFFFFFFF"/>
      </patternFill>
    </fill>
    <fill>
      <patternFill patternType="solid">
        <fgColor theme="3"/>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FFFF"/>
        <bgColor rgb="FF000000"/>
      </patternFill>
    </fill>
  </fills>
  <borders count="18">
    <border>
      <left/>
      <right/>
      <top/>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right/>
      <top style="thin">
        <color theme="4" tint="0.39997558519241921"/>
      </top>
      <bottom style="thin">
        <color theme="4" tint="0.39997558519241921"/>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right/>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thin">
        <color rgb="FF8EA9DB"/>
      </top>
      <bottom style="thin">
        <color rgb="FF8EA9DB"/>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s>
  <cellStyleXfs count="1">
    <xf numFmtId="0" fontId="0" fillId="0" borderId="0"/>
  </cellStyleXfs>
  <cellXfs count="131">
    <xf numFmtId="0" fontId="0" fillId="0" borderId="0" xfId="0"/>
    <xf numFmtId="0" fontId="1" fillId="2" borderId="0" xfId="0" applyFont="1" applyFill="1"/>
    <xf numFmtId="0" fontId="2" fillId="3" borderId="1" xfId="0" applyFont="1" applyFill="1" applyBorder="1"/>
    <xf numFmtId="0" fontId="1" fillId="3" borderId="2" xfId="0" applyFont="1" applyFill="1" applyBorder="1"/>
    <xf numFmtId="0" fontId="1" fillId="3" borderId="2" xfId="0" applyFont="1" applyFill="1" applyBorder="1" applyAlignment="1">
      <alignment horizontal="left"/>
    </xf>
    <xf numFmtId="0" fontId="3" fillId="3" borderId="3" xfId="0" applyFont="1" applyFill="1" applyBorder="1"/>
    <xf numFmtId="0" fontId="1" fillId="3" borderId="4" xfId="0" applyFont="1" applyFill="1" applyBorder="1"/>
    <xf numFmtId="0" fontId="1" fillId="3" borderId="5" xfId="0" applyFont="1" applyFill="1" applyBorder="1"/>
    <xf numFmtId="0" fontId="4" fillId="4" borderId="0" xfId="0" applyFont="1" applyFill="1" applyAlignment="1">
      <alignment horizontal="left" vertical="center"/>
    </xf>
    <xf numFmtId="2" fontId="0" fillId="3" borderId="0" xfId="0" applyNumberFormat="1" applyFill="1" applyAlignment="1">
      <alignment horizontal="left" vertical="top"/>
    </xf>
    <xf numFmtId="0" fontId="0" fillId="3" borderId="0" xfId="0" applyFill="1" applyAlignment="1">
      <alignment horizontal="left" vertical="top"/>
    </xf>
    <xf numFmtId="1" fontId="0" fillId="3" borderId="0" xfId="0" applyNumberFormat="1" applyFill="1" applyAlignment="1">
      <alignment horizontal="left" vertical="top"/>
    </xf>
    <xf numFmtId="0" fontId="0" fillId="3" borderId="0" xfId="0" applyFill="1" applyAlignment="1">
      <alignment horizontal="left" vertical="top" wrapText="1"/>
    </xf>
    <xf numFmtId="2" fontId="0" fillId="3" borderId="0" xfId="0" quotePrefix="1" applyNumberFormat="1" applyFill="1" applyAlignment="1">
      <alignment horizontal="left" vertical="top" wrapText="1"/>
    </xf>
    <xf numFmtId="2" fontId="0" fillId="3" borderId="0" xfId="0" quotePrefix="1" applyNumberFormat="1" applyFill="1" applyAlignment="1">
      <alignment horizontal="left" vertical="top"/>
    </xf>
    <xf numFmtId="0" fontId="0" fillId="3" borderId="0" xfId="0" applyFill="1"/>
    <xf numFmtId="0" fontId="4" fillId="4" borderId="0" xfId="0" applyFont="1" applyFill="1" applyAlignment="1">
      <alignment vertical="center"/>
    </xf>
    <xf numFmtId="0" fontId="4" fillId="4" borderId="0" xfId="0" applyFont="1" applyFill="1" applyAlignment="1">
      <alignment horizontal="right" vertical="center"/>
    </xf>
    <xf numFmtId="2" fontId="0" fillId="3" borderId="0" xfId="0" applyNumberFormat="1" applyFill="1" applyAlignment="1">
      <alignment horizontal="left" vertical="center" indent="1"/>
    </xf>
    <xf numFmtId="0" fontId="0" fillId="3" borderId="0" xfId="0" applyFill="1" applyAlignment="1">
      <alignment horizontal="right" vertical="center"/>
    </xf>
    <xf numFmtId="0" fontId="0" fillId="3" borderId="0" xfId="0" applyFill="1" applyAlignment="1">
      <alignment horizontal="left" vertical="center"/>
    </xf>
    <xf numFmtId="9" fontId="0" fillId="3" borderId="0" xfId="0" applyNumberFormat="1" applyFill="1" applyAlignment="1">
      <alignment horizontal="right" vertical="center"/>
    </xf>
    <xf numFmtId="9" fontId="6" fillId="3" borderId="0" xfId="0" applyNumberFormat="1" applyFont="1" applyFill="1" applyAlignment="1">
      <alignment horizontal="right" vertical="center"/>
    </xf>
    <xf numFmtId="0" fontId="6" fillId="3" borderId="0" xfId="0" applyFont="1" applyFill="1" applyAlignment="1">
      <alignment horizontal="right" vertical="center"/>
    </xf>
    <xf numFmtId="2" fontId="8" fillId="3" borderId="0" xfId="0" applyNumberFormat="1" applyFont="1" applyFill="1" applyAlignment="1">
      <alignment horizontal="left" vertical="center" wrapText="1" indent="1"/>
    </xf>
    <xf numFmtId="2" fontId="8" fillId="3" borderId="0" xfId="0" applyNumberFormat="1" applyFont="1" applyFill="1" applyAlignment="1">
      <alignment horizontal="right" vertical="center" wrapText="1"/>
    </xf>
    <xf numFmtId="2" fontId="0" fillId="3" borderId="0" xfId="0" applyNumberFormat="1" applyFill="1" applyAlignment="1">
      <alignment horizontal="right" vertical="center"/>
    </xf>
    <xf numFmtId="0" fontId="0" fillId="3" borderId="0" xfId="0" applyFill="1" applyAlignment="1">
      <alignment horizontal="right"/>
    </xf>
    <xf numFmtId="0" fontId="1" fillId="3" borderId="7" xfId="0" applyFont="1" applyFill="1" applyBorder="1"/>
    <xf numFmtId="0" fontId="1" fillId="3" borderId="8" xfId="0" applyFont="1" applyFill="1" applyBorder="1"/>
    <xf numFmtId="0" fontId="9" fillId="3" borderId="8" xfId="0" applyFont="1" applyFill="1" applyBorder="1"/>
    <xf numFmtId="0" fontId="1" fillId="3" borderId="9" xfId="0" applyFont="1" applyFill="1" applyBorder="1"/>
    <xf numFmtId="0" fontId="10" fillId="2" borderId="0" xfId="0" applyFont="1" applyFill="1"/>
    <xf numFmtId="0" fontId="7" fillId="3" borderId="6" xfId="0" applyFont="1" applyFill="1" applyBorder="1" applyAlignment="1">
      <alignment horizontal="left" vertical="top" wrapText="1"/>
    </xf>
    <xf numFmtId="0" fontId="7" fillId="0" borderId="0" xfId="0" applyFont="1"/>
    <xf numFmtId="0" fontId="11" fillId="2" borderId="0" xfId="0" applyFont="1" applyFill="1"/>
    <xf numFmtId="0" fontId="12" fillId="3" borderId="1" xfId="0" applyFont="1" applyFill="1" applyBorder="1"/>
    <xf numFmtId="0" fontId="11" fillId="3" borderId="2" xfId="0" applyFont="1" applyFill="1" applyBorder="1"/>
    <xf numFmtId="0" fontId="13" fillId="3" borderId="3" xfId="0" applyFont="1" applyFill="1" applyBorder="1"/>
    <xf numFmtId="0" fontId="11" fillId="3" borderId="4" xfId="0" applyFont="1" applyFill="1" applyBorder="1"/>
    <xf numFmtId="0" fontId="14" fillId="6" borderId="0" xfId="0" applyFont="1" applyFill="1" applyAlignment="1">
      <alignment horizontal="left" vertical="center"/>
    </xf>
    <xf numFmtId="0" fontId="14" fillId="4" borderId="0" xfId="0" applyFont="1" applyFill="1" applyAlignment="1">
      <alignment horizontal="left" vertical="center"/>
    </xf>
    <xf numFmtId="0" fontId="11" fillId="3" borderId="5" xfId="0" applyFont="1" applyFill="1" applyBorder="1"/>
    <xf numFmtId="1" fontId="15" fillId="3" borderId="0" xfId="0" applyNumberFormat="1" applyFont="1" applyFill="1" applyAlignment="1">
      <alignment horizontal="left" vertical="top"/>
    </xf>
    <xf numFmtId="2" fontId="15" fillId="3" borderId="0" xfId="0" applyNumberFormat="1" applyFont="1" applyFill="1" applyAlignment="1">
      <alignment horizontal="left" vertical="top"/>
    </xf>
    <xf numFmtId="0" fontId="15" fillId="3" borderId="0" xfId="0" applyFont="1" applyFill="1" applyAlignment="1">
      <alignment horizontal="left" vertical="top"/>
    </xf>
    <xf numFmtId="1" fontId="16" fillId="3" borderId="0" xfId="0" applyNumberFormat="1" applyFont="1" applyFill="1" applyAlignment="1">
      <alignment horizontal="right" vertical="top" indent="1"/>
    </xf>
    <xf numFmtId="1" fontId="16" fillId="3" borderId="0" xfId="0" applyNumberFormat="1" applyFont="1" applyFill="1" applyAlignment="1">
      <alignment horizontal="left" vertical="center" wrapText="1"/>
    </xf>
    <xf numFmtId="1" fontId="17" fillId="3" borderId="0" xfId="0" applyNumberFormat="1" applyFont="1" applyFill="1" applyAlignment="1">
      <alignment horizontal="right" vertical="top"/>
    </xf>
    <xf numFmtId="2" fontId="15" fillId="3" borderId="0" xfId="0" applyNumberFormat="1" applyFont="1" applyFill="1" applyAlignment="1">
      <alignment horizontal="left" vertical="top" wrapText="1"/>
    </xf>
    <xf numFmtId="49" fontId="15" fillId="3" borderId="0" xfId="0" applyNumberFormat="1" applyFont="1" applyFill="1" applyAlignment="1">
      <alignment horizontal="left" vertical="top"/>
    </xf>
    <xf numFmtId="0" fontId="11" fillId="3" borderId="7" xfId="0" applyFont="1" applyFill="1" applyBorder="1"/>
    <xf numFmtId="0" fontId="11" fillId="3" borderId="8" xfId="0" applyFont="1" applyFill="1" applyBorder="1"/>
    <xf numFmtId="0" fontId="18" fillId="3" borderId="8" xfId="0" applyFont="1" applyFill="1" applyBorder="1"/>
    <xf numFmtId="0" fontId="11" fillId="3" borderId="9" xfId="0" applyFont="1" applyFill="1" applyBorder="1"/>
    <xf numFmtId="0" fontId="14" fillId="4" borderId="0" xfId="0" applyFont="1" applyFill="1" applyAlignment="1">
      <alignment horizontal="right" vertical="center"/>
    </xf>
    <xf numFmtId="1" fontId="16" fillId="3" borderId="0" xfId="0" applyNumberFormat="1" applyFont="1" applyFill="1" applyAlignment="1">
      <alignment vertical="center" wrapText="1"/>
    </xf>
    <xf numFmtId="1" fontId="16" fillId="3" borderId="0" xfId="0" applyNumberFormat="1" applyFont="1" applyFill="1" applyAlignment="1">
      <alignment horizontal="right" vertical="center" wrapText="1"/>
    </xf>
    <xf numFmtId="49" fontId="21" fillId="3" borderId="0" xfId="0" applyNumberFormat="1" applyFont="1" applyFill="1" applyAlignment="1" applyProtection="1">
      <alignment horizontal="right" vertical="top"/>
      <protection locked="0"/>
    </xf>
    <xf numFmtId="49" fontId="21" fillId="3" borderId="0" xfId="0" applyNumberFormat="1" applyFont="1" applyFill="1" applyAlignment="1" applyProtection="1">
      <alignment horizontal="left" vertical="top"/>
      <protection locked="0"/>
    </xf>
    <xf numFmtId="0" fontId="4" fillId="4" borderId="0" xfId="0" applyFont="1" applyFill="1" applyAlignment="1">
      <alignment horizontal="left" vertical="center" indent="1"/>
    </xf>
    <xf numFmtId="1" fontId="16" fillId="3" borderId="0" xfId="0" applyNumberFormat="1" applyFont="1" applyFill="1" applyAlignment="1">
      <alignment horizontal="left" vertical="center" indent="1"/>
    </xf>
    <xf numFmtId="0" fontId="15" fillId="3" borderId="0" xfId="0" applyFont="1" applyFill="1" applyAlignment="1">
      <alignment vertical="center"/>
    </xf>
    <xf numFmtId="0" fontId="22" fillId="3" borderId="0" xfId="0" applyFont="1" applyFill="1" applyAlignment="1">
      <alignment horizontal="center" vertical="center"/>
    </xf>
    <xf numFmtId="0" fontId="1" fillId="2" borderId="0" xfId="0" applyFont="1" applyFill="1" applyAlignment="1">
      <alignment wrapText="1"/>
    </xf>
    <xf numFmtId="0" fontId="1" fillId="3" borderId="2" xfId="0" applyFont="1" applyFill="1" applyBorder="1" applyAlignment="1">
      <alignment wrapText="1"/>
    </xf>
    <xf numFmtId="0" fontId="4" fillId="4" borderId="0" xfId="0" applyFont="1" applyFill="1" applyAlignment="1">
      <alignment horizontal="left" vertical="center" wrapText="1"/>
    </xf>
    <xf numFmtId="0" fontId="11" fillId="3" borderId="8" xfId="0" applyFont="1" applyFill="1" applyBorder="1" applyAlignment="1">
      <alignment wrapText="1"/>
    </xf>
    <xf numFmtId="0" fontId="10" fillId="2" borderId="0" xfId="0" applyFont="1" applyFill="1" applyAlignment="1">
      <alignment wrapText="1"/>
    </xf>
    <xf numFmtId="0" fontId="0" fillId="0" borderId="0" xfId="0" applyAlignment="1">
      <alignment wrapText="1"/>
    </xf>
    <xf numFmtId="0" fontId="1" fillId="2" borderId="0" xfId="0" applyFont="1" applyFill="1" applyAlignment="1">
      <alignment horizontal="center"/>
    </xf>
    <xf numFmtId="2" fontId="23" fillId="8" borderId="12" xfId="0" applyNumberFormat="1" applyFont="1" applyFill="1" applyBorder="1" applyAlignment="1">
      <alignment horizontal="center" vertical="center"/>
    </xf>
    <xf numFmtId="2" fontId="0" fillId="3" borderId="0" xfId="0" applyNumberFormat="1" applyFill="1" applyAlignment="1">
      <alignment vertical="center" wrapText="1"/>
    </xf>
    <xf numFmtId="0" fontId="1" fillId="3" borderId="8" xfId="0" applyFont="1" applyFill="1" applyBorder="1" applyAlignment="1">
      <alignment wrapText="1"/>
    </xf>
    <xf numFmtId="0" fontId="4" fillId="7" borderId="12" xfId="0" applyFont="1" applyFill="1" applyBorder="1" applyAlignment="1">
      <alignment vertical="center"/>
    </xf>
    <xf numFmtId="0" fontId="4" fillId="7" borderId="12" xfId="0" applyFont="1" applyFill="1" applyBorder="1" applyAlignment="1">
      <alignment horizontal="left" vertical="center"/>
    </xf>
    <xf numFmtId="2" fontId="6" fillId="9" borderId="12" xfId="0" applyNumberFormat="1" applyFont="1" applyFill="1" applyBorder="1" applyAlignment="1">
      <alignment horizontal="center" vertical="center" wrapText="1"/>
    </xf>
    <xf numFmtId="2" fontId="0" fillId="5" borderId="14" xfId="0" applyNumberFormat="1" applyFill="1" applyBorder="1" applyAlignment="1">
      <alignment horizontal="center" vertical="center" wrapText="1"/>
    </xf>
    <xf numFmtId="2" fontId="0" fillId="5" borderId="12" xfId="0" applyNumberFormat="1" applyFill="1" applyBorder="1" applyAlignment="1">
      <alignment horizontal="center" vertical="center" wrapText="1"/>
    </xf>
    <xf numFmtId="0" fontId="1" fillId="3" borderId="2" xfId="0" applyFont="1" applyFill="1" applyBorder="1" applyAlignment="1">
      <alignment horizontal="left" wrapText="1"/>
    </xf>
    <xf numFmtId="2" fontId="0" fillId="3" borderId="0" xfId="0" applyNumberFormat="1" applyFill="1" applyAlignment="1">
      <alignment horizontal="left" vertical="top" wrapText="1"/>
    </xf>
    <xf numFmtId="49" fontId="0" fillId="3" borderId="0" xfId="0" applyNumberFormat="1" applyFill="1" applyAlignment="1">
      <alignment horizontal="left" vertical="top" wrapText="1"/>
    </xf>
    <xf numFmtId="4" fontId="0" fillId="3" borderId="0" xfId="0" applyNumberFormat="1" applyFill="1" applyAlignment="1">
      <alignment horizontal="left" vertical="top" wrapText="1"/>
    </xf>
    <xf numFmtId="0" fontId="0" fillId="3" borderId="0" xfId="0" quotePrefix="1" applyFill="1" applyAlignment="1">
      <alignment horizontal="left" vertical="top" wrapText="1"/>
    </xf>
    <xf numFmtId="2" fontId="24" fillId="10" borderId="0" xfId="0" quotePrefix="1" applyNumberFormat="1" applyFont="1" applyFill="1" applyAlignment="1">
      <alignment horizontal="left" vertical="top" wrapText="1"/>
    </xf>
    <xf numFmtId="2" fontId="24" fillId="10" borderId="0" xfId="0" applyNumberFormat="1" applyFont="1" applyFill="1" applyAlignment="1">
      <alignment horizontal="left" vertical="top" wrapText="1"/>
    </xf>
    <xf numFmtId="2" fontId="0" fillId="3" borderId="15" xfId="0" applyNumberFormat="1" applyFill="1" applyBorder="1" applyAlignment="1">
      <alignment horizontal="left" vertical="top" wrapText="1"/>
    </xf>
    <xf numFmtId="0" fontId="18" fillId="3" borderId="8" xfId="0" applyFont="1" applyFill="1" applyBorder="1" applyAlignment="1">
      <alignment wrapText="1"/>
    </xf>
    <xf numFmtId="0" fontId="0" fillId="3" borderId="15" xfId="0" applyFill="1" applyBorder="1" applyAlignment="1">
      <alignment horizontal="left" vertical="top" wrapText="1"/>
    </xf>
    <xf numFmtId="49" fontId="0" fillId="3" borderId="0" xfId="0" applyNumberFormat="1" applyFill="1" applyAlignment="1">
      <alignment horizontal="left" vertical="top"/>
    </xf>
    <xf numFmtId="49" fontId="0" fillId="3" borderId="0" xfId="0" quotePrefix="1" applyNumberFormat="1" applyFill="1" applyAlignment="1">
      <alignment horizontal="left" vertical="top" wrapText="1"/>
    </xf>
    <xf numFmtId="0" fontId="15" fillId="3" borderId="0" xfId="0" applyFont="1" applyFill="1" applyAlignment="1">
      <alignment horizontal="left" vertical="center"/>
    </xf>
    <xf numFmtId="0" fontId="24" fillId="10" borderId="0" xfId="0" applyFont="1" applyFill="1" applyAlignment="1">
      <alignment horizontal="left" vertical="top"/>
    </xf>
    <xf numFmtId="0" fontId="0" fillId="3" borderId="15" xfId="0" applyFill="1" applyBorder="1" applyAlignment="1">
      <alignment horizontal="left" vertical="top"/>
    </xf>
    <xf numFmtId="0" fontId="24" fillId="10" borderId="0" xfId="0" applyFont="1" applyFill="1" applyAlignment="1">
      <alignment horizontal="left" vertical="top" wrapText="1"/>
    </xf>
    <xf numFmtId="49" fontId="24" fillId="10" borderId="0" xfId="0" applyNumberFormat="1" applyFont="1" applyFill="1" applyAlignment="1">
      <alignment horizontal="left" vertical="top" wrapText="1"/>
    </xf>
    <xf numFmtId="0" fontId="22" fillId="3" borderId="0" xfId="0" applyFont="1" applyFill="1" applyAlignment="1">
      <alignment horizontal="left" vertical="center"/>
    </xf>
    <xf numFmtId="49" fontId="0" fillId="3" borderId="15" xfId="0" applyNumberFormat="1" applyFill="1" applyBorder="1" applyAlignment="1">
      <alignment horizontal="left" vertical="top" wrapText="1"/>
    </xf>
    <xf numFmtId="1" fontId="0" fillId="5" borderId="12" xfId="0" applyNumberFormat="1" applyFill="1" applyBorder="1" applyAlignment="1">
      <alignment horizontal="center" vertical="center" wrapText="1"/>
    </xf>
    <xf numFmtId="2" fontId="23" fillId="7" borderId="13" xfId="0" applyNumberFormat="1" applyFont="1" applyFill="1" applyBorder="1" applyAlignment="1">
      <alignment vertical="center"/>
    </xf>
    <xf numFmtId="2" fontId="23" fillId="7" borderId="11" xfId="0" applyNumberFormat="1" applyFont="1" applyFill="1" applyBorder="1" applyAlignment="1">
      <alignment vertical="center"/>
    </xf>
    <xf numFmtId="2" fontId="0" fillId="9" borderId="12" xfId="0" applyNumberFormat="1" applyFill="1" applyBorder="1" applyAlignment="1">
      <alignment horizontal="center" vertical="center" wrapText="1"/>
    </xf>
    <xf numFmtId="2" fontId="6" fillId="9" borderId="12" xfId="0" quotePrefix="1" applyNumberFormat="1" applyFont="1" applyFill="1" applyBorder="1" applyAlignment="1">
      <alignment horizontal="center" vertical="center" wrapText="1"/>
    </xf>
    <xf numFmtId="2" fontId="0" fillId="9" borderId="12" xfId="0" quotePrefix="1" applyNumberFormat="1" applyFill="1" applyBorder="1" applyAlignment="1">
      <alignment horizontal="center" vertical="center" wrapText="1"/>
    </xf>
    <xf numFmtId="1" fontId="0" fillId="3" borderId="0" xfId="0" quotePrefix="1" applyNumberFormat="1" applyFill="1" applyAlignment="1">
      <alignment horizontal="left" vertical="top"/>
    </xf>
    <xf numFmtId="0" fontId="4" fillId="4" borderId="0" xfId="0" applyFont="1" applyFill="1" applyAlignment="1">
      <alignment horizontal="center" vertical="center"/>
    </xf>
    <xf numFmtId="0" fontId="0" fillId="3" borderId="0" xfId="0" applyFill="1" applyAlignment="1">
      <alignment horizontal="center"/>
    </xf>
    <xf numFmtId="49" fontId="21" fillId="3" borderId="0" xfId="0" applyNumberFormat="1" applyFont="1" applyFill="1" applyAlignment="1" applyProtection="1">
      <alignment horizontal="center" vertical="top"/>
      <protection locked="0"/>
    </xf>
    <xf numFmtId="0" fontId="15" fillId="3" borderId="0" xfId="0" applyFont="1" applyFill="1" applyAlignment="1">
      <alignment horizontal="left" vertical="center" wrapText="1"/>
    </xf>
    <xf numFmtId="1" fontId="0" fillId="5" borderId="13" xfId="0" applyNumberFormat="1" applyFill="1" applyBorder="1" applyAlignment="1">
      <alignment horizontal="center" vertical="center" wrapText="1"/>
    </xf>
    <xf numFmtId="1" fontId="0" fillId="5" borderId="11" xfId="0" applyNumberFormat="1" applyFill="1" applyBorder="1" applyAlignment="1">
      <alignment horizontal="center" vertical="center" wrapText="1"/>
    </xf>
    <xf numFmtId="1" fontId="0" fillId="5" borderId="14" xfId="0" applyNumberFormat="1" applyFill="1" applyBorder="1" applyAlignment="1">
      <alignment horizontal="center" vertical="center" wrapText="1"/>
    </xf>
    <xf numFmtId="2" fontId="0" fillId="5" borderId="13" xfId="0" applyNumberFormat="1" applyFill="1" applyBorder="1" applyAlignment="1">
      <alignment horizontal="center" vertical="center" wrapText="1"/>
    </xf>
    <xf numFmtId="2" fontId="0" fillId="5" borderId="11" xfId="0" applyNumberFormat="1" applyFill="1" applyBorder="1" applyAlignment="1">
      <alignment horizontal="center" vertical="center" wrapText="1"/>
    </xf>
    <xf numFmtId="2" fontId="0" fillId="5" borderId="14" xfId="0" applyNumberFormat="1" applyFill="1" applyBorder="1" applyAlignment="1">
      <alignment horizontal="center" vertical="center" wrapText="1"/>
    </xf>
    <xf numFmtId="2" fontId="23" fillId="8" borderId="13" xfId="0" applyNumberFormat="1" applyFont="1" applyFill="1" applyBorder="1" applyAlignment="1">
      <alignment horizontal="center" vertical="center"/>
    </xf>
    <xf numFmtId="2" fontId="23" fillId="8" borderId="11" xfId="0" applyNumberFormat="1" applyFont="1" applyFill="1" applyBorder="1" applyAlignment="1">
      <alignment horizontal="center" vertical="center"/>
    </xf>
    <xf numFmtId="2" fontId="23" fillId="8" borderId="14" xfId="0" applyNumberFormat="1" applyFont="1" applyFill="1" applyBorder="1" applyAlignment="1">
      <alignment horizontal="center" vertical="center"/>
    </xf>
    <xf numFmtId="2" fontId="23" fillId="7" borderId="13" xfId="0" applyNumberFormat="1" applyFont="1" applyFill="1" applyBorder="1" applyAlignment="1">
      <alignment horizontal="center" vertical="center"/>
    </xf>
    <xf numFmtId="2" fontId="23" fillId="7" borderId="14" xfId="0" applyNumberFormat="1" applyFont="1" applyFill="1" applyBorder="1" applyAlignment="1">
      <alignment horizontal="center" vertical="center"/>
    </xf>
    <xf numFmtId="2" fontId="23" fillId="7" borderId="11" xfId="0" applyNumberFormat="1" applyFont="1" applyFill="1" applyBorder="1" applyAlignment="1">
      <alignment horizontal="center" vertical="center"/>
    </xf>
    <xf numFmtId="2" fontId="6" fillId="9" borderId="16" xfId="0" applyNumberFormat="1" applyFont="1" applyFill="1" applyBorder="1" applyAlignment="1">
      <alignment horizontal="center" vertical="center" wrapText="1"/>
    </xf>
    <xf numFmtId="2" fontId="6" fillId="9" borderId="17" xfId="0" applyNumberFormat="1" applyFont="1" applyFill="1" applyBorder="1" applyAlignment="1">
      <alignment horizontal="center" vertical="center" wrapText="1"/>
    </xf>
    <xf numFmtId="1" fontId="14" fillId="4" borderId="0" xfId="0" applyNumberFormat="1" applyFont="1" applyFill="1" applyAlignment="1">
      <alignment horizontal="right" vertical="center" wrapText="1" indent="5"/>
    </xf>
    <xf numFmtId="2" fontId="20" fillId="3" borderId="0" xfId="0" applyNumberFormat="1" applyFont="1" applyFill="1" applyAlignment="1">
      <alignment horizontal="center" vertical="center" wrapText="1"/>
    </xf>
    <xf numFmtId="1" fontId="16" fillId="3" borderId="10" xfId="0" applyNumberFormat="1" applyFont="1" applyFill="1" applyBorder="1" applyAlignment="1">
      <alignment horizontal="left" vertical="top"/>
    </xf>
    <xf numFmtId="1" fontId="16" fillId="3" borderId="11" xfId="0" applyNumberFormat="1" applyFont="1" applyFill="1" applyBorder="1" applyAlignment="1">
      <alignment horizontal="left" vertical="top"/>
    </xf>
    <xf numFmtId="2" fontId="15" fillId="5" borderId="0" xfId="0" applyNumberFormat="1" applyFont="1" applyFill="1" applyAlignment="1">
      <alignment horizontal="left" vertical="top"/>
    </xf>
    <xf numFmtId="0" fontId="15" fillId="5" borderId="11" xfId="0" applyFont="1" applyFill="1" applyBorder="1" applyAlignment="1">
      <alignment horizontal="left" vertical="top" wrapText="1"/>
    </xf>
    <xf numFmtId="0" fontId="15" fillId="5" borderId="10" xfId="0" applyFont="1" applyFill="1" applyBorder="1" applyAlignment="1">
      <alignment horizontal="left" vertical="top" wrapText="1"/>
    </xf>
    <xf numFmtId="49" fontId="15" fillId="5" borderId="0" xfId="0" applyNumberFormat="1" applyFont="1" applyFill="1" applyAlignment="1">
      <alignment horizontal="left" vertical="top" wrapText="1"/>
    </xf>
  </cellXfs>
  <cellStyles count="1">
    <cellStyle name="Normal" xfId="0" builtinId="0"/>
  </cellStyles>
  <dxfs count="22">
    <dxf>
      <numFmt numFmtId="2" formatCode="0.00"/>
      <fill>
        <patternFill patternType="solid">
          <fgColor indexed="64"/>
          <bgColor theme="0"/>
        </patternFill>
      </fill>
      <alignment horizontal="left" vertical="top" textRotation="0" wrapText="0" indent="0" justifyLastLine="0" shrinkToFit="0" readingOrder="0"/>
    </dxf>
    <dxf>
      <numFmt numFmtId="2" formatCode="0.00"/>
      <fill>
        <patternFill patternType="solid">
          <fgColor indexed="64"/>
          <bgColor theme="0"/>
        </patternFill>
      </fill>
      <alignment horizontal="left" vertical="top" textRotation="0" wrapText="0" indent="0" justifyLastLine="0" shrinkToFit="0" readingOrder="0"/>
    </dxf>
    <dxf>
      <numFmt numFmtId="2" formatCode="0.00"/>
      <fill>
        <patternFill patternType="solid">
          <fgColor indexed="64"/>
          <bgColor theme="0"/>
        </patternFill>
      </fill>
      <alignment horizontal="left" vertical="top" textRotation="0" wrapText="1" indent="0" justifyLastLine="0" shrinkToFit="0" readingOrder="0"/>
    </dxf>
    <dxf>
      <fill>
        <patternFill patternType="solid">
          <fgColor indexed="64"/>
          <bgColor theme="0"/>
        </patternFill>
      </fill>
      <alignment horizontal="left" vertical="top" textRotation="0" wrapText="0" indent="0" justifyLastLine="0" shrinkToFit="0" readingOrder="0"/>
    </dxf>
    <dxf>
      <fill>
        <patternFill patternType="solid">
          <fgColor indexed="64"/>
          <bgColor theme="0"/>
        </patternFill>
      </fill>
      <alignment horizontal="left" vertical="top" textRotation="0" wrapText="1" indent="0" justifyLastLine="0" shrinkToFit="0" readingOrder="0"/>
    </dxf>
    <dxf>
      <fill>
        <patternFill patternType="solid">
          <fgColor indexed="64"/>
          <bgColor theme="0"/>
        </patternFill>
      </fill>
      <alignment horizontal="left" vertical="top" textRotation="0" wrapText="0" indent="0" justifyLastLine="0" shrinkToFit="0" readingOrder="0"/>
    </dxf>
    <dxf>
      <fill>
        <patternFill patternType="solid">
          <fgColor indexed="64"/>
          <bgColor theme="0"/>
        </patternFill>
      </fill>
      <alignment horizontal="left" vertical="top" textRotation="0" wrapText="1" indent="0" justifyLastLine="0" shrinkToFit="0" readingOrder="0"/>
    </dxf>
    <dxf>
      <numFmt numFmtId="2" formatCode="0.00"/>
      <fill>
        <patternFill patternType="solid">
          <fgColor indexed="64"/>
          <bgColor theme="0"/>
        </patternFill>
      </fill>
      <alignment horizontal="left" vertical="top" textRotation="0" wrapText="0" indent="0" justifyLastLine="0" shrinkToFit="0" readingOrder="0"/>
    </dxf>
    <dxf>
      <numFmt numFmtId="2" formatCode="0.00"/>
      <fill>
        <patternFill patternType="solid">
          <fgColor indexed="64"/>
          <bgColor theme="0"/>
        </patternFill>
      </fill>
      <alignment horizontal="left" vertical="top" textRotation="0" wrapText="1" indent="0" justifyLastLine="0" shrinkToFit="0" readingOrder="0"/>
    </dxf>
    <dxf>
      <fill>
        <patternFill patternType="solid">
          <fgColor indexed="64"/>
          <bgColor theme="0"/>
        </patternFill>
      </fill>
      <alignment horizontal="left" vertical="top" textRotation="0" wrapText="0" indent="0" justifyLastLine="0" shrinkToFit="0" readingOrder="0"/>
    </dxf>
    <dxf>
      <fill>
        <patternFill patternType="solid">
          <fgColor indexed="64"/>
          <bgColor theme="0"/>
        </patternFill>
      </fill>
      <alignment horizontal="left" vertical="top" textRotation="0" wrapText="0" indent="0" justifyLastLine="0" shrinkToFit="0" readingOrder="0"/>
    </dxf>
    <dxf>
      <fill>
        <patternFill patternType="solid">
          <fgColor indexed="64"/>
          <bgColor theme="0"/>
        </patternFill>
      </fill>
      <alignment horizontal="left" vertical="top" textRotation="0" wrapText="1" indent="0" justifyLastLine="0" shrinkToFit="0" readingOrder="0"/>
    </dxf>
    <dxf>
      <numFmt numFmtId="2" formatCode="0.00"/>
      <fill>
        <patternFill patternType="solid">
          <fgColor indexed="64"/>
          <bgColor theme="0"/>
        </patternFill>
      </fill>
      <alignment horizontal="left" vertical="top" textRotation="0" wrapText="0" indent="0" justifyLastLine="0" shrinkToFit="0" readingOrder="0"/>
    </dxf>
    <dxf>
      <numFmt numFmtId="1" formatCode="0"/>
      <fill>
        <patternFill patternType="solid">
          <fgColor indexed="64"/>
          <bgColor theme="0"/>
        </patternFill>
      </fill>
      <alignment horizontal="left" vertical="top" textRotation="0" wrapText="0" indent="0" justifyLastLine="0" shrinkToFit="0" readingOrder="0"/>
    </dxf>
    <dxf>
      <fill>
        <patternFill patternType="solid">
          <fgColor indexed="64"/>
          <bgColor theme="0"/>
        </patternFill>
      </fill>
      <alignment horizontal="left" vertical="top"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rgb="FFFFFFFF"/>
          <bgColor theme="3"/>
        </patternFill>
      </fill>
      <alignment horizontal="left"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1689100</xdr:colOff>
      <xdr:row>14</xdr:row>
      <xdr:rowOff>139700</xdr:rowOff>
    </xdr:from>
    <xdr:to>
      <xdr:col>9</xdr:col>
      <xdr:colOff>1701800</xdr:colOff>
      <xdr:row>16</xdr:row>
      <xdr:rowOff>292100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4000" t="29480" r="23429" b="28902"/>
        <a:stretch/>
      </xdr:blipFill>
      <xdr:spPr>
        <a:xfrm>
          <a:off x="13208000" y="2044700"/>
          <a:ext cx="1752600" cy="914400"/>
        </a:xfrm>
        <a:prstGeom prst="rect">
          <a:avLst/>
        </a:prstGeom>
      </xdr:spPr>
    </xdr:pic>
    <xdr:clientData/>
  </xdr:twoCellAnchor>
  <xdr:twoCellAnchor editAs="oneCell">
    <xdr:from>
      <xdr:col>1</xdr:col>
      <xdr:colOff>660400</xdr:colOff>
      <xdr:row>15</xdr:row>
      <xdr:rowOff>101600</xdr:rowOff>
    </xdr:from>
    <xdr:to>
      <xdr:col>3</xdr:col>
      <xdr:colOff>698374</xdr:colOff>
      <xdr:row>16</xdr:row>
      <xdr:rowOff>182706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66800" y="2387600"/>
          <a:ext cx="2450974" cy="462106"/>
        </a:xfrm>
        <a:prstGeom prst="rect">
          <a:avLst/>
        </a:prstGeom>
      </xdr:spPr>
    </xdr:pic>
    <xdr:clientData/>
  </xdr:twoCellAnchor>
  <xdr:twoCellAnchor editAs="absolute">
    <xdr:from>
      <xdr:col>7</xdr:col>
      <xdr:colOff>165100</xdr:colOff>
      <xdr:row>6</xdr:row>
      <xdr:rowOff>50800</xdr:rowOff>
    </xdr:from>
    <xdr:to>
      <xdr:col>8</xdr:col>
      <xdr:colOff>1089200</xdr:colOff>
      <xdr:row>13</xdr:row>
      <xdr:rowOff>47800</xdr:rowOff>
    </xdr:to>
    <mc:AlternateContent xmlns:mc="http://schemas.openxmlformats.org/markup-compatibility/2006" xmlns:sle15="http://schemas.microsoft.com/office/drawing/2012/slicer">
      <mc:Choice Requires="sle15">
        <xdr:graphicFrame macro="">
          <xdr:nvGraphicFramePr>
            <xdr:cNvPr id="4" name="Topic">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9944100" y="2336800"/>
              <a:ext cx="2664000" cy="2664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38099</xdr:colOff>
      <xdr:row>8</xdr:row>
      <xdr:rowOff>38100</xdr:rowOff>
    </xdr:from>
    <xdr:to>
      <xdr:col>13</xdr:col>
      <xdr:colOff>279398</xdr:colOff>
      <xdr:row>15</xdr:row>
      <xdr:rowOff>114300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flipH="1">
          <a:off x="11112499" y="4076700"/>
          <a:ext cx="4089399" cy="3556000"/>
        </a:xfrm>
        <a:prstGeom prst="rect">
          <a:avLst/>
        </a:prstGeom>
        <a:solidFill>
          <a:schemeClr val="bg1">
            <a:lumMod val="10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1016000</xdr:colOff>
          <xdr:row>4</xdr:row>
          <xdr:rowOff>0</xdr:rowOff>
        </xdr:from>
        <xdr:to>
          <xdr:col>12</xdr:col>
          <xdr:colOff>381000</xdr:colOff>
          <xdr:row>5</xdr:row>
          <xdr:rowOff>12700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0" i="0" u="none" strike="noStrike" baseline="0">
                  <a:solidFill>
                    <a:srgbClr val="000000"/>
                  </a:solidFill>
                  <a:latin typeface="Calibri" pitchFamily="2" charset="0"/>
                  <a:cs typeface="Calibri" pitchFamily="2" charset="0"/>
                </a:rPr>
                <a:t>Zufall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6</xdr:row>
          <xdr:rowOff>203200</xdr:rowOff>
        </xdr:from>
        <xdr:to>
          <xdr:col>12</xdr:col>
          <xdr:colOff>1231900</xdr:colOff>
          <xdr:row>6</xdr:row>
          <xdr:rowOff>558800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0" i="0" u="none" strike="noStrike" baseline="0">
                  <a:solidFill>
                    <a:srgbClr val="000000"/>
                  </a:solidFill>
                  <a:latin typeface="Calibri" pitchFamily="2" charset="0"/>
                  <a:cs typeface="Calibri" pitchFamily="2" charset="0"/>
                </a:rPr>
                <a:t>Auflösen!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596900</xdr:colOff>
          <xdr:row>4</xdr:row>
          <xdr:rowOff>0</xdr:rowOff>
        </xdr:from>
        <xdr:to>
          <xdr:col>12</xdr:col>
          <xdr:colOff>1244600</xdr:colOff>
          <xdr:row>5</xdr:row>
          <xdr:rowOff>12700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0" i="0" u="none" strike="noStrike" baseline="0">
                  <a:solidFill>
                    <a:srgbClr val="000000"/>
                  </a:solidFill>
                  <a:latin typeface="Calibri" pitchFamily="2" charset="0"/>
                  <a:cs typeface="Calibri" pitchFamily="2" charset="0"/>
                </a:rPr>
                <a:t>&gt;&gt;&gt;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4</xdr:row>
          <xdr:rowOff>0</xdr:rowOff>
        </xdr:from>
        <xdr:to>
          <xdr:col>11</xdr:col>
          <xdr:colOff>787400</xdr:colOff>
          <xdr:row>5</xdr:row>
          <xdr:rowOff>12700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0" i="0" u="none" strike="noStrike" baseline="0">
                  <a:solidFill>
                    <a:srgbClr val="000000"/>
                  </a:solidFill>
                  <a:latin typeface="Calibri" pitchFamily="2" charset="0"/>
                  <a:cs typeface="Calibri" pitchFamily="2" charset="0"/>
                </a:rPr>
                <a:t>&lt;&lt;&lt;</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pic" xr10:uid="{EEB13079-8066-A84A-8AB2-7F0756970B0C}" sourceName="Thema">
  <extLst>
    <x:ext xmlns:x15="http://schemas.microsoft.com/office/spreadsheetml/2010/11/main" uri="{2F2917AC-EB37-4324-AD4E-5DD8C200BD13}">
      <x15:tableSlicerCache tableId="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pic" xr10:uid="{E731D9BE-D8E8-0747-8935-4B1F7BD1896E}" cache="Slicer_Topic" caption="Thema"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97F801-DD1E-C64A-A895-C8F0FF0EFBAB}" name="Table1" displayName="Table1" ref="C3:P617" totalsRowShown="0" headerRowDxfId="15" dataDxfId="14">
  <autoFilter ref="C3:P617" xr:uid="{E45CCA85-8B56-9B4E-8721-06AC005644A5}"/>
  <sortState xmlns:xlrd2="http://schemas.microsoft.com/office/spreadsheetml/2017/richdata2" ref="C4:P617">
    <sortCondition ref="D3:D617"/>
  </sortState>
  <tableColumns count="14">
    <tableColumn id="1" xr3:uid="{765E35F7-482C-144F-A38C-735DB6366115}" name="#" dataDxfId="13">
      <calculatedColumnFormula>SUBTOTAL(103,$D$4:D4)</calculatedColumnFormula>
    </tableColumn>
    <tableColumn id="2" xr3:uid="{1DFBC04C-EC3B-4A42-88C3-B73F5429EE96}" name="Thema" dataDxfId="12"/>
    <tableColumn id="3" xr3:uid="{B4798931-9208-5149-B19F-D0DCD080E082}" name="Frage" dataDxfId="11"/>
    <tableColumn id="4" xr3:uid="{66BD4E26-96CA-E344-8BA0-17798D38879B}" name="SC/MC/TF" dataDxfId="10"/>
    <tableColumn id="17" xr3:uid="{D3C1F035-A218-EA49-8653-2382001E595F}" name="Solution1" dataDxfId="9"/>
    <tableColumn id="5" xr3:uid="{AB4B00D9-7FB4-4440-B269-59C37CF19009}" name="Option1" dataDxfId="8"/>
    <tableColumn id="13" xr3:uid="{E047131F-C412-1D4F-A394-0A54F9521D08}" name="Solution2" dataDxfId="7"/>
    <tableColumn id="6" xr3:uid="{39F3F900-84D8-B948-8683-36AFA3A8AC71}" name="Option2" dataDxfId="6"/>
    <tableColumn id="15" xr3:uid="{65578AC4-9F89-A741-BD26-DDDAABC3F951}" name="Solution3" dataDxfId="5"/>
    <tableColumn id="7" xr3:uid="{7241A26F-EC1E-2340-917B-8F620B5669E7}" name="Option3" dataDxfId="4"/>
    <tableColumn id="16" xr3:uid="{EF6D4051-E91F-5244-A016-730A52B9FD9A}" name="Solution4" dataDxfId="3"/>
    <tableColumn id="8" xr3:uid="{3148BC34-E02D-544C-B378-AFEB0DA472EA}" name="Option4" dataDxfId="2"/>
    <tableColumn id="10" xr3:uid="{CBE28F29-84FD-5847-98B5-8A06D35ED048}" name="Erklärung" dataDxfId="1"/>
    <tableColumn id="11" xr3:uid="{823D9898-D95F-0C4E-B738-18AE2F893CC3}" name="Reference Number (2019)" dataDxfId="0"/>
  </tableColumns>
  <tableStyleInfo name="TableStyleMedium2" showFirstColumn="0" showLastColumn="0" showRowStripes="1" showColumnStripes="0"/>
</table>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02C65-1BCE-534F-9567-6594CFF3EADB}">
  <sheetPr codeName="Sheet4"/>
  <dimension ref="A1:AF21"/>
  <sheetViews>
    <sheetView tabSelected="1" zoomScaleNormal="100" workbookViewId="0"/>
  </sheetViews>
  <sheetFormatPr baseColWidth="10" defaultColWidth="0" defaultRowHeight="0" customHeight="1" zeroHeight="1"/>
  <cols>
    <col min="1" max="1" width="5.33203125" style="15" customWidth="1"/>
    <col min="2" max="2" width="8.83203125" style="15" customWidth="1"/>
    <col min="3" max="10" width="22.83203125" style="15" customWidth="1"/>
    <col min="11" max="11" width="8.83203125" style="15" customWidth="1"/>
    <col min="12" max="12" width="5.33203125" style="15" customWidth="1"/>
    <col min="13" max="14" width="10.83203125" style="15" hidden="1" customWidth="1"/>
    <col min="15" max="18" width="0" style="15" hidden="1" customWidth="1"/>
    <col min="19" max="19" width="10.83203125" style="15" hidden="1" customWidth="1"/>
    <col min="20" max="23" width="0" style="15" hidden="1" customWidth="1"/>
    <col min="24" max="24" width="10.83203125" style="15" hidden="1" customWidth="1"/>
    <col min="25" max="32" width="0" style="15" hidden="1" customWidth="1"/>
    <col min="33" max="16384" width="10.83203125" style="15" hidden="1"/>
  </cols>
  <sheetData>
    <row r="1" spans="1:12" ht="30" customHeight="1" thickBot="1">
      <c r="A1" s="1"/>
      <c r="B1" s="1"/>
      <c r="C1" s="1"/>
      <c r="D1" s="1"/>
      <c r="E1" s="1"/>
      <c r="F1" s="1"/>
      <c r="G1" s="1"/>
      <c r="H1" s="1"/>
      <c r="I1" s="1"/>
      <c r="J1" s="1"/>
      <c r="K1" s="1"/>
      <c r="L1" s="1"/>
    </row>
    <row r="2" spans="1:12" ht="30" customHeight="1">
      <c r="A2" s="1"/>
      <c r="B2" s="2"/>
      <c r="C2" s="3"/>
      <c r="D2" s="3"/>
      <c r="E2" s="3"/>
      <c r="F2" s="4"/>
      <c r="G2" s="3"/>
      <c r="H2" s="3"/>
      <c r="I2" s="3"/>
      <c r="J2" s="3"/>
      <c r="K2" s="5"/>
      <c r="L2" s="1"/>
    </row>
    <row r="3" spans="1:12" ht="30" customHeight="1">
      <c r="A3" s="1"/>
      <c r="B3" s="6"/>
      <c r="C3" s="60" t="s">
        <v>1291</v>
      </c>
      <c r="D3" s="17"/>
      <c r="E3" s="17"/>
      <c r="F3" s="105" t="s">
        <v>1290</v>
      </c>
      <c r="G3" s="105"/>
      <c r="H3" s="17"/>
      <c r="I3" s="17"/>
      <c r="J3" s="17" t="s">
        <v>1292</v>
      </c>
      <c r="K3" s="7"/>
      <c r="L3" s="1"/>
    </row>
    <row r="4" spans="1:12" ht="30" customHeight="1">
      <c r="A4" s="1"/>
      <c r="B4" s="6"/>
      <c r="C4" s="18"/>
      <c r="D4" s="19"/>
      <c r="E4" s="20"/>
      <c r="F4" s="18"/>
      <c r="G4" s="19"/>
      <c r="H4" s="20"/>
      <c r="I4" s="18"/>
      <c r="J4" s="19"/>
      <c r="K4" s="7"/>
      <c r="L4" s="1"/>
    </row>
    <row r="5" spans="1:12" ht="30" customHeight="1">
      <c r="A5" s="1"/>
      <c r="B5" s="6"/>
      <c r="C5" s="18"/>
      <c r="D5" s="19"/>
      <c r="E5" s="20"/>
      <c r="F5" s="18"/>
      <c r="G5" s="19"/>
      <c r="H5" s="20"/>
      <c r="I5" s="18"/>
      <c r="J5" s="19"/>
      <c r="K5" s="7"/>
      <c r="L5" s="1"/>
    </row>
    <row r="6" spans="1:12" ht="30" customHeight="1">
      <c r="A6" s="1"/>
      <c r="B6" s="6"/>
      <c r="C6" s="61" t="s">
        <v>1297</v>
      </c>
      <c r="D6" s="108" t="s">
        <v>2439</v>
      </c>
      <c r="E6" s="108"/>
      <c r="F6" s="108"/>
      <c r="G6" s="62"/>
      <c r="H6" s="61" t="s">
        <v>2267</v>
      </c>
      <c r="I6" s="61"/>
      <c r="J6" s="19"/>
      <c r="K6" s="7"/>
      <c r="L6" s="1"/>
    </row>
    <row r="7" spans="1:12" ht="30" customHeight="1">
      <c r="A7" s="1"/>
      <c r="B7" s="6"/>
      <c r="C7" s="61"/>
      <c r="D7" s="108"/>
      <c r="E7" s="108"/>
      <c r="F7" s="108"/>
      <c r="G7" s="62"/>
      <c r="H7" s="62"/>
      <c r="I7" s="62"/>
      <c r="J7" s="19"/>
      <c r="K7" s="7"/>
      <c r="L7" s="1"/>
    </row>
    <row r="8" spans="1:12" ht="30" customHeight="1">
      <c r="A8" s="1"/>
      <c r="B8" s="6"/>
      <c r="C8" s="18"/>
      <c r="D8" s="19"/>
      <c r="E8" s="20"/>
      <c r="F8" s="18"/>
      <c r="G8" s="19"/>
      <c r="H8" s="20"/>
      <c r="I8" s="18"/>
      <c r="J8" s="19"/>
      <c r="K8" s="7"/>
      <c r="L8" s="1"/>
    </row>
    <row r="9" spans="1:12" ht="30" customHeight="1">
      <c r="A9" s="1"/>
      <c r="B9" s="6"/>
      <c r="C9" s="61" t="s">
        <v>1295</v>
      </c>
      <c r="D9" s="96">
        <f>Quiz!Q2</f>
        <v>614</v>
      </c>
      <c r="E9" s="62" t="s">
        <v>1296</v>
      </c>
      <c r="F9" s="62"/>
      <c r="G9" s="62"/>
      <c r="H9" s="62"/>
      <c r="I9" s="62"/>
      <c r="J9" s="19"/>
      <c r="K9" s="7"/>
      <c r="L9" s="1"/>
    </row>
    <row r="10" spans="1:12" ht="30" customHeight="1">
      <c r="A10" s="1"/>
      <c r="B10" s="6"/>
      <c r="C10" s="61"/>
      <c r="D10" s="63"/>
      <c r="E10" s="62"/>
      <c r="F10" s="62"/>
      <c r="G10" s="62"/>
      <c r="H10" s="62"/>
      <c r="I10" s="62"/>
      <c r="J10" s="19"/>
      <c r="K10" s="7"/>
      <c r="L10" s="1"/>
    </row>
    <row r="11" spans="1:12" ht="30" customHeight="1">
      <c r="A11" s="1"/>
      <c r="B11" s="6"/>
      <c r="C11" s="18"/>
      <c r="D11" s="19"/>
      <c r="E11" s="20"/>
      <c r="F11" s="18"/>
      <c r="G11" s="19"/>
      <c r="H11" s="20"/>
      <c r="I11" s="18"/>
      <c r="J11" s="19"/>
      <c r="K11" s="7"/>
      <c r="L11" s="1"/>
    </row>
    <row r="12" spans="1:12" ht="30" customHeight="1">
      <c r="A12" s="1"/>
      <c r="B12" s="6"/>
      <c r="C12" s="61" t="s">
        <v>1298</v>
      </c>
      <c r="D12" s="108" t="s">
        <v>2440</v>
      </c>
      <c r="E12" s="108"/>
      <c r="F12" s="108"/>
      <c r="G12" s="62"/>
      <c r="H12" s="62"/>
      <c r="I12" s="62"/>
      <c r="J12" s="19"/>
      <c r="K12" s="7"/>
      <c r="L12" s="1"/>
    </row>
    <row r="13" spans="1:12" ht="30" customHeight="1">
      <c r="A13" s="1"/>
      <c r="B13" s="6"/>
      <c r="C13" s="61"/>
      <c r="D13" s="108"/>
      <c r="E13" s="108"/>
      <c r="F13" s="108"/>
      <c r="G13" s="91"/>
      <c r="H13" s="91"/>
      <c r="I13" s="91"/>
      <c r="J13" s="19"/>
      <c r="K13" s="7"/>
      <c r="L13" s="1"/>
    </row>
    <row r="14" spans="1:12" ht="30" customHeight="1">
      <c r="A14" s="1"/>
      <c r="B14" s="6"/>
      <c r="C14" s="19"/>
      <c r="D14" s="19"/>
      <c r="E14" s="19"/>
      <c r="F14" s="27"/>
      <c r="G14" s="27"/>
      <c r="H14" s="19"/>
      <c r="I14" s="26"/>
      <c r="J14" s="19"/>
      <c r="K14" s="7"/>
      <c r="L14" s="1"/>
    </row>
    <row r="15" spans="1:12" ht="30" customHeight="1">
      <c r="A15" s="1"/>
      <c r="B15" s="6"/>
      <c r="C15" s="19"/>
      <c r="D15" s="19"/>
      <c r="E15" s="19"/>
      <c r="F15" s="27"/>
      <c r="G15" s="27"/>
      <c r="H15" s="19"/>
      <c r="I15" s="26"/>
      <c r="J15" s="19"/>
      <c r="K15" s="7"/>
      <c r="L15" s="1"/>
    </row>
    <row r="16" spans="1:12" ht="30" customHeight="1">
      <c r="A16" s="1"/>
      <c r="B16" s="6"/>
      <c r="C16" s="19"/>
      <c r="D16" s="19"/>
      <c r="E16" s="19"/>
      <c r="F16" s="27"/>
      <c r="G16" s="27"/>
      <c r="H16" s="19"/>
      <c r="I16" s="26"/>
      <c r="J16" s="19"/>
      <c r="K16" s="7"/>
      <c r="L16" s="1"/>
    </row>
    <row r="17" spans="1:12" ht="30" customHeight="1">
      <c r="A17" s="1"/>
      <c r="B17" s="6"/>
      <c r="C17" s="19"/>
      <c r="D17" s="19"/>
      <c r="E17" s="19"/>
      <c r="F17" s="106"/>
      <c r="G17" s="106"/>
      <c r="H17" s="19"/>
      <c r="I17" s="26"/>
      <c r="J17" s="19"/>
      <c r="K17" s="7"/>
      <c r="L17" s="1"/>
    </row>
    <row r="18" spans="1:12" ht="30" customHeight="1">
      <c r="A18" s="1"/>
      <c r="B18" s="6"/>
      <c r="C18" s="59" t="s">
        <v>1294</v>
      </c>
      <c r="D18" s="19"/>
      <c r="E18" s="20"/>
      <c r="F18" s="107" t="s">
        <v>1418</v>
      </c>
      <c r="G18" s="107"/>
      <c r="H18" s="20"/>
      <c r="I18" s="18"/>
      <c r="J18" s="58" t="s">
        <v>1293</v>
      </c>
      <c r="K18" s="7"/>
      <c r="L18" s="1"/>
    </row>
    <row r="19" spans="1:12" ht="30" customHeight="1" thickBot="1">
      <c r="A19" s="1"/>
      <c r="B19" s="28"/>
      <c r="C19" s="29"/>
      <c r="D19" s="29"/>
      <c r="E19" s="29"/>
      <c r="F19" s="30"/>
      <c r="G19" s="30"/>
      <c r="H19" s="30"/>
      <c r="I19" s="30"/>
      <c r="J19" s="30"/>
      <c r="K19" s="31"/>
      <c r="L19" s="1"/>
    </row>
    <row r="20" spans="1:12" ht="30" customHeight="1">
      <c r="A20" s="1"/>
      <c r="B20" s="32"/>
      <c r="C20" s="32"/>
      <c r="D20" s="32"/>
      <c r="E20" s="32"/>
      <c r="F20" s="32"/>
      <c r="G20" s="32"/>
      <c r="H20" s="32"/>
      <c r="I20" s="32"/>
      <c r="J20" s="32"/>
      <c r="K20" s="32"/>
      <c r="L20" s="1"/>
    </row>
    <row r="21" spans="1:12" ht="16" hidden="1"/>
  </sheetData>
  <mergeCells count="5">
    <mergeCell ref="F3:G3"/>
    <mergeCell ref="F17:G17"/>
    <mergeCell ref="F18:G18"/>
    <mergeCell ref="D6:F7"/>
    <mergeCell ref="D12:F13"/>
  </mergeCells>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90A0-E450-1242-A0C1-DD3C8B487F3C}">
  <sheetPr codeName="Sheet1"/>
  <dimension ref="A1:AF33"/>
  <sheetViews>
    <sheetView zoomScaleNormal="100" workbookViewId="0"/>
  </sheetViews>
  <sheetFormatPr baseColWidth="10" defaultColWidth="0" defaultRowHeight="0" customHeight="1" zeroHeight="1"/>
  <cols>
    <col min="1" max="1" width="5.33203125" style="15" customWidth="1"/>
    <col min="2" max="2" width="8.83203125" style="15" customWidth="1"/>
    <col min="3" max="10" width="22.83203125" style="15" customWidth="1"/>
    <col min="11" max="11" width="8.83203125" style="15" customWidth="1"/>
    <col min="12" max="12" width="5.33203125" style="15" customWidth="1"/>
    <col min="13" max="14" width="10.83203125" style="15" hidden="1" customWidth="1"/>
    <col min="15" max="18" width="0" style="15" hidden="1" customWidth="1"/>
    <col min="19" max="19" width="10.83203125" style="15" hidden="1" customWidth="1"/>
    <col min="20" max="23" width="0" style="15" hidden="1" customWidth="1"/>
    <col min="24" max="24" width="10.83203125" style="15" hidden="1" customWidth="1"/>
    <col min="25" max="32" width="0" style="15" hidden="1" customWidth="1"/>
    <col min="33" max="16384" width="10.83203125" style="15" hidden="1"/>
  </cols>
  <sheetData>
    <row r="1" spans="1:12" ht="30" customHeight="1" thickBot="1">
      <c r="A1" s="1"/>
      <c r="B1" s="1"/>
      <c r="C1" s="1"/>
      <c r="D1" s="1"/>
      <c r="E1" s="1"/>
      <c r="F1" s="1"/>
      <c r="G1" s="1"/>
      <c r="H1" s="1"/>
      <c r="I1" s="1"/>
      <c r="J1" s="1"/>
      <c r="K1" s="1"/>
      <c r="L1" s="1"/>
    </row>
    <row r="2" spans="1:12" ht="30" customHeight="1">
      <c r="A2" s="1"/>
      <c r="B2" s="2"/>
      <c r="C2" s="3"/>
      <c r="D2" s="3"/>
      <c r="E2" s="3"/>
      <c r="F2" s="4"/>
      <c r="G2" s="3"/>
      <c r="H2" s="3"/>
      <c r="I2" s="3"/>
      <c r="J2" s="3"/>
      <c r="K2" s="5"/>
      <c r="L2" s="1"/>
    </row>
    <row r="3" spans="1:12" ht="30" customHeight="1">
      <c r="A3" s="1"/>
      <c r="B3" s="6"/>
      <c r="C3" s="16" t="s">
        <v>133</v>
      </c>
      <c r="D3" s="17"/>
      <c r="E3" s="17"/>
      <c r="F3" s="17"/>
      <c r="G3" s="17"/>
      <c r="H3" s="17"/>
      <c r="I3" s="17"/>
      <c r="J3" s="17"/>
      <c r="K3" s="7"/>
      <c r="L3" s="1"/>
    </row>
    <row r="4" spans="1:12" ht="30" customHeight="1">
      <c r="A4" s="1"/>
      <c r="B4" s="6"/>
      <c r="C4" s="18"/>
      <c r="D4" s="19"/>
      <c r="E4" s="20"/>
      <c r="F4" s="18"/>
      <c r="G4" s="19"/>
      <c r="H4" s="20"/>
      <c r="I4" s="18"/>
      <c r="J4" s="19"/>
      <c r="K4" s="7"/>
      <c r="L4" s="1"/>
    </row>
    <row r="5" spans="1:12" ht="30" customHeight="1">
      <c r="A5" s="1"/>
      <c r="B5" s="6"/>
      <c r="C5" s="17" t="s">
        <v>7</v>
      </c>
      <c r="D5" s="17" t="s">
        <v>2</v>
      </c>
      <c r="E5" s="17" t="s">
        <v>134</v>
      </c>
      <c r="F5" s="17" t="s">
        <v>135</v>
      </c>
      <c r="G5" s="17" t="s">
        <v>136</v>
      </c>
      <c r="H5" s="17" t="s">
        <v>137</v>
      </c>
      <c r="I5" s="17" t="s">
        <v>138</v>
      </c>
      <c r="J5" s="17" t="s">
        <v>139</v>
      </c>
      <c r="K5" s="7"/>
      <c r="L5" s="1"/>
    </row>
    <row r="6" spans="1:12" ht="30" customHeight="1">
      <c r="A6" s="1"/>
      <c r="B6" s="6"/>
      <c r="C6" s="19">
        <v>1</v>
      </c>
      <c r="D6" s="21" t="s">
        <v>140</v>
      </c>
      <c r="E6" s="19">
        <v>2</v>
      </c>
      <c r="F6" s="19">
        <v>1</v>
      </c>
      <c r="G6" s="19">
        <v>2</v>
      </c>
      <c r="H6" s="19">
        <f>SUM(E6:G6)</f>
        <v>5</v>
      </c>
      <c r="I6" s="19">
        <f>2*E6+4*F6+2*G6</f>
        <v>12</v>
      </c>
      <c r="J6" s="21">
        <f>I6/$I$14</f>
        <v>3.8216560509554139E-2</v>
      </c>
      <c r="K6" s="7"/>
      <c r="L6" s="1"/>
    </row>
    <row r="7" spans="1:12" ht="30" customHeight="1">
      <c r="A7" s="1"/>
      <c r="B7" s="6"/>
      <c r="C7" s="19">
        <v>2</v>
      </c>
      <c r="D7" s="21" t="s">
        <v>141</v>
      </c>
      <c r="E7" s="19">
        <v>1</v>
      </c>
      <c r="F7" s="19">
        <v>2</v>
      </c>
      <c r="G7" s="19">
        <v>2</v>
      </c>
      <c r="H7" s="19">
        <f t="shared" ref="H7:H13" si="0">SUM(E7:G7)</f>
        <v>5</v>
      </c>
      <c r="I7" s="19">
        <f t="shared" ref="I7:I13" si="1">2*E7+4*F7+2*G7</f>
        <v>14</v>
      </c>
      <c r="J7" s="21">
        <f t="shared" ref="J7:J15" si="2">I7/$I$14</f>
        <v>4.4585987261146494E-2</v>
      </c>
      <c r="K7" s="7"/>
      <c r="L7" s="1"/>
    </row>
    <row r="8" spans="1:12" ht="30" customHeight="1">
      <c r="A8" s="1"/>
      <c r="B8" s="6"/>
      <c r="C8" s="19">
        <v>3</v>
      </c>
      <c r="D8" s="21" t="s">
        <v>142</v>
      </c>
      <c r="E8" s="19">
        <v>8</v>
      </c>
      <c r="F8" s="19">
        <v>5</v>
      </c>
      <c r="G8" s="19">
        <v>7</v>
      </c>
      <c r="H8" s="19">
        <f t="shared" si="0"/>
        <v>20</v>
      </c>
      <c r="I8" s="19">
        <f t="shared" si="1"/>
        <v>50</v>
      </c>
      <c r="J8" s="21">
        <f t="shared" si="2"/>
        <v>0.15923566878980891</v>
      </c>
      <c r="K8" s="7"/>
      <c r="L8" s="1"/>
    </row>
    <row r="9" spans="1:12" ht="30" customHeight="1">
      <c r="A9" s="1"/>
      <c r="B9" s="6"/>
      <c r="C9" s="19">
        <v>4</v>
      </c>
      <c r="D9" s="21" t="s">
        <v>143</v>
      </c>
      <c r="E9" s="19">
        <v>5</v>
      </c>
      <c r="F9" s="19">
        <v>5</v>
      </c>
      <c r="G9" s="19">
        <v>15</v>
      </c>
      <c r="H9" s="19">
        <f t="shared" si="0"/>
        <v>25</v>
      </c>
      <c r="I9" s="19">
        <f t="shared" si="1"/>
        <v>60</v>
      </c>
      <c r="J9" s="21">
        <f t="shared" si="2"/>
        <v>0.19108280254777071</v>
      </c>
      <c r="K9" s="7"/>
      <c r="L9" s="1"/>
    </row>
    <row r="10" spans="1:12" ht="30" customHeight="1">
      <c r="A10" s="1"/>
      <c r="B10" s="6"/>
      <c r="C10" s="19">
        <v>5</v>
      </c>
      <c r="D10" s="21" t="s">
        <v>144</v>
      </c>
      <c r="E10" s="19">
        <v>10</v>
      </c>
      <c r="F10" s="19">
        <v>5</v>
      </c>
      <c r="G10" s="19">
        <v>10</v>
      </c>
      <c r="H10" s="19">
        <f t="shared" si="0"/>
        <v>25</v>
      </c>
      <c r="I10" s="19">
        <f t="shared" si="1"/>
        <v>60</v>
      </c>
      <c r="J10" s="21">
        <f t="shared" si="2"/>
        <v>0.19108280254777071</v>
      </c>
      <c r="K10" s="7"/>
      <c r="L10" s="1"/>
    </row>
    <row r="11" spans="1:12" ht="30" customHeight="1">
      <c r="A11" s="1"/>
      <c r="B11" s="6"/>
      <c r="C11" s="19">
        <v>6</v>
      </c>
      <c r="D11" s="21" t="s">
        <v>145</v>
      </c>
      <c r="E11" s="19">
        <v>2</v>
      </c>
      <c r="F11" s="19">
        <v>1</v>
      </c>
      <c r="G11" s="19">
        <v>2</v>
      </c>
      <c r="H11" s="19">
        <f t="shared" si="0"/>
        <v>5</v>
      </c>
      <c r="I11" s="19">
        <f t="shared" si="1"/>
        <v>12</v>
      </c>
      <c r="J11" s="21">
        <f t="shared" si="2"/>
        <v>3.8216560509554139E-2</v>
      </c>
      <c r="K11" s="7"/>
      <c r="L11" s="1"/>
    </row>
    <row r="12" spans="1:12" ht="30" customHeight="1">
      <c r="A12" s="1"/>
      <c r="B12" s="6"/>
      <c r="C12" s="19">
        <v>7</v>
      </c>
      <c r="D12" s="21" t="s">
        <v>146</v>
      </c>
      <c r="E12" s="19">
        <v>9</v>
      </c>
      <c r="F12" s="19">
        <v>12</v>
      </c>
      <c r="G12" s="19">
        <v>14</v>
      </c>
      <c r="H12" s="19">
        <f t="shared" si="0"/>
        <v>35</v>
      </c>
      <c r="I12" s="19">
        <f t="shared" si="1"/>
        <v>94</v>
      </c>
      <c r="J12" s="21">
        <f t="shared" si="2"/>
        <v>0.29936305732484075</v>
      </c>
      <c r="K12" s="7"/>
      <c r="L12" s="1"/>
    </row>
    <row r="13" spans="1:12" ht="30" customHeight="1">
      <c r="A13" s="1"/>
      <c r="B13" s="6"/>
      <c r="C13" s="19">
        <v>8</v>
      </c>
      <c r="D13" s="21" t="s">
        <v>147</v>
      </c>
      <c r="E13" s="19">
        <v>3</v>
      </c>
      <c r="F13" s="19">
        <v>1</v>
      </c>
      <c r="G13" s="19">
        <v>1</v>
      </c>
      <c r="H13" s="19">
        <f t="shared" si="0"/>
        <v>5</v>
      </c>
      <c r="I13" s="19">
        <f t="shared" si="1"/>
        <v>12</v>
      </c>
      <c r="J13" s="21">
        <f t="shared" si="2"/>
        <v>3.8216560509554139E-2</v>
      </c>
      <c r="K13" s="7"/>
      <c r="L13" s="1"/>
    </row>
    <row r="14" spans="1:12" ht="30" customHeight="1">
      <c r="A14" s="1"/>
      <c r="B14" s="6"/>
      <c r="C14" s="18"/>
      <c r="D14" s="22" t="s">
        <v>148</v>
      </c>
      <c r="E14" s="23">
        <f>SUM(E6:E13)</f>
        <v>40</v>
      </c>
      <c r="F14" s="23">
        <f t="shared" ref="F14:I14" si="3">SUM(F6:F13)</f>
        <v>32</v>
      </c>
      <c r="G14" s="23">
        <f t="shared" si="3"/>
        <v>53</v>
      </c>
      <c r="H14" s="23">
        <f t="shared" si="3"/>
        <v>125</v>
      </c>
      <c r="I14" s="23">
        <f t="shared" si="3"/>
        <v>314</v>
      </c>
      <c r="J14" s="22">
        <f t="shared" si="2"/>
        <v>1</v>
      </c>
      <c r="K14" s="7"/>
      <c r="L14" s="1"/>
    </row>
    <row r="15" spans="1:12" ht="30" customHeight="1">
      <c r="A15" s="1"/>
      <c r="B15" s="6"/>
      <c r="C15" s="18"/>
      <c r="D15" s="22" t="s">
        <v>2335</v>
      </c>
      <c r="E15" s="23">
        <f t="shared" ref="E15:H15" si="4">0.75*E14</f>
        <v>30</v>
      </c>
      <c r="F15" s="23">
        <f t="shared" si="4"/>
        <v>24</v>
      </c>
      <c r="G15" s="23">
        <f t="shared" si="4"/>
        <v>39.75</v>
      </c>
      <c r="H15" s="23">
        <f t="shared" si="4"/>
        <v>93.75</v>
      </c>
      <c r="I15" s="23">
        <f>0.75*I14</f>
        <v>235.5</v>
      </c>
      <c r="J15" s="22">
        <f t="shared" si="2"/>
        <v>0.75</v>
      </c>
      <c r="K15" s="7"/>
      <c r="L15" s="1"/>
    </row>
    <row r="16" spans="1:12" ht="30" customHeight="1">
      <c r="A16" s="1"/>
      <c r="B16" s="6"/>
      <c r="C16" s="18"/>
      <c r="D16" s="21"/>
      <c r="E16" s="20"/>
      <c r="F16" s="24"/>
      <c r="G16" s="19"/>
      <c r="H16" s="20"/>
      <c r="I16" s="18"/>
      <c r="J16" s="19"/>
      <c r="K16" s="7"/>
      <c r="L16" s="1"/>
    </row>
    <row r="17" spans="1:12" ht="30" customHeight="1">
      <c r="A17" s="1"/>
      <c r="B17" s="6"/>
      <c r="C17" s="17" t="s">
        <v>149</v>
      </c>
      <c r="D17" s="17"/>
      <c r="E17" s="17" t="s">
        <v>150</v>
      </c>
      <c r="F17" s="17"/>
      <c r="G17" s="17" t="s">
        <v>151</v>
      </c>
      <c r="H17" s="17"/>
      <c r="I17" s="17" t="s">
        <v>152</v>
      </c>
      <c r="J17" s="17" t="s">
        <v>1915</v>
      </c>
      <c r="K17" s="7"/>
      <c r="L17" s="1"/>
    </row>
    <row r="18" spans="1:12" ht="30" customHeight="1">
      <c r="A18" s="1"/>
      <c r="B18" s="6"/>
      <c r="C18" s="19">
        <v>1</v>
      </c>
      <c r="D18" s="21"/>
      <c r="E18" s="19" t="s">
        <v>169</v>
      </c>
      <c r="F18" s="25"/>
      <c r="G18" s="19" t="s">
        <v>1876</v>
      </c>
      <c r="H18" s="19"/>
      <c r="I18" s="19">
        <v>5</v>
      </c>
      <c r="J18" s="21">
        <v>0</v>
      </c>
      <c r="K18" s="7"/>
      <c r="L18" s="1"/>
    </row>
    <row r="19" spans="1:12" ht="30" customHeight="1">
      <c r="A19" s="1"/>
      <c r="B19" s="6"/>
      <c r="C19" s="19">
        <v>2</v>
      </c>
      <c r="D19" s="21"/>
      <c r="E19" s="19" t="s">
        <v>153</v>
      </c>
      <c r="F19" s="25"/>
      <c r="G19" s="19" t="s">
        <v>154</v>
      </c>
      <c r="H19" s="19"/>
      <c r="I19" s="19">
        <v>10</v>
      </c>
      <c r="J19" s="21">
        <v>0</v>
      </c>
      <c r="K19" s="7"/>
      <c r="L19" s="1"/>
    </row>
    <row r="20" spans="1:12" ht="30" customHeight="1">
      <c r="A20" s="1"/>
      <c r="B20" s="6"/>
      <c r="C20" s="19">
        <v>3</v>
      </c>
      <c r="D20" s="21"/>
      <c r="E20" s="19" t="s">
        <v>155</v>
      </c>
      <c r="F20" s="25"/>
      <c r="G20" s="19" t="s">
        <v>156</v>
      </c>
      <c r="H20" s="19"/>
      <c r="I20" s="19">
        <v>2</v>
      </c>
      <c r="J20" s="21">
        <v>0</v>
      </c>
      <c r="K20" s="7"/>
      <c r="L20" s="1"/>
    </row>
    <row r="21" spans="1:12" ht="30" customHeight="1">
      <c r="A21" s="1"/>
      <c r="B21" s="6"/>
      <c r="C21" s="19">
        <v>4</v>
      </c>
      <c r="D21" s="21"/>
      <c r="E21" s="19" t="s">
        <v>157</v>
      </c>
      <c r="F21" s="25"/>
      <c r="G21" s="19" t="s">
        <v>154</v>
      </c>
      <c r="H21" s="19"/>
      <c r="I21" s="19">
        <v>3</v>
      </c>
      <c r="J21" s="21">
        <v>0</v>
      </c>
      <c r="K21" s="7"/>
      <c r="L21" s="1"/>
    </row>
    <row r="22" spans="1:12" ht="30" customHeight="1">
      <c r="A22" s="1"/>
      <c r="B22" s="6"/>
      <c r="C22" s="19">
        <v>5</v>
      </c>
      <c r="D22" s="21"/>
      <c r="E22" s="19" t="s">
        <v>158</v>
      </c>
      <c r="F22" s="25"/>
      <c r="G22" s="19" t="s">
        <v>154</v>
      </c>
      <c r="H22" s="19"/>
      <c r="I22" s="19">
        <v>3</v>
      </c>
      <c r="J22" s="21">
        <v>0</v>
      </c>
      <c r="K22" s="7"/>
      <c r="L22" s="1"/>
    </row>
    <row r="23" spans="1:12" ht="30" customHeight="1">
      <c r="A23" s="1"/>
      <c r="B23" s="6"/>
      <c r="C23" s="19"/>
      <c r="D23" s="21"/>
      <c r="E23" s="19"/>
      <c r="F23" s="25"/>
      <c r="G23" s="19"/>
      <c r="H23" s="19"/>
      <c r="I23" s="26"/>
      <c r="J23" s="19"/>
      <c r="K23" s="7"/>
      <c r="L23" s="1"/>
    </row>
    <row r="24" spans="1:12" ht="30" customHeight="1">
      <c r="A24" s="1"/>
      <c r="B24" s="6"/>
      <c r="C24" s="17" t="s">
        <v>159</v>
      </c>
      <c r="D24" s="17"/>
      <c r="E24" s="17" t="s">
        <v>150</v>
      </c>
      <c r="F24" s="17"/>
      <c r="G24" s="17" t="s">
        <v>151</v>
      </c>
      <c r="H24" s="17"/>
      <c r="I24" s="17" t="s">
        <v>160</v>
      </c>
      <c r="J24" s="17"/>
      <c r="K24" s="7"/>
      <c r="L24" s="1"/>
    </row>
    <row r="25" spans="1:12" ht="30" customHeight="1">
      <c r="A25" s="1"/>
      <c r="B25" s="6"/>
      <c r="C25" s="19">
        <v>1</v>
      </c>
      <c r="D25" s="19"/>
      <c r="E25" s="19" t="s">
        <v>153</v>
      </c>
      <c r="F25" s="27"/>
      <c r="G25" s="27" t="s">
        <v>161</v>
      </c>
      <c r="H25" s="19"/>
      <c r="I25" s="26" t="s">
        <v>162</v>
      </c>
      <c r="J25" s="19"/>
      <c r="K25" s="7"/>
      <c r="L25" s="1"/>
    </row>
    <row r="26" spans="1:12" ht="30" customHeight="1">
      <c r="A26" s="1"/>
      <c r="B26" s="6"/>
      <c r="C26" s="19">
        <v>2</v>
      </c>
      <c r="D26" s="19"/>
      <c r="E26" s="19" t="s">
        <v>155</v>
      </c>
      <c r="F26" s="27"/>
      <c r="G26" s="27" t="s">
        <v>163</v>
      </c>
      <c r="H26" s="19"/>
      <c r="I26" s="26" t="s">
        <v>162</v>
      </c>
      <c r="J26" s="19"/>
      <c r="K26" s="7"/>
      <c r="L26" s="1"/>
    </row>
    <row r="27" spans="1:12" ht="30" customHeight="1">
      <c r="A27" s="1"/>
      <c r="B27" s="6"/>
      <c r="C27" s="19">
        <v>3</v>
      </c>
      <c r="D27" s="19"/>
      <c r="E27" s="19" t="s">
        <v>164</v>
      </c>
      <c r="F27" s="27"/>
      <c r="G27" s="27" t="s">
        <v>165</v>
      </c>
      <c r="H27" s="19"/>
      <c r="I27" s="26" t="s">
        <v>166</v>
      </c>
      <c r="J27" s="19"/>
      <c r="K27" s="7"/>
      <c r="L27" s="1"/>
    </row>
    <row r="28" spans="1:12" ht="30" customHeight="1">
      <c r="A28" s="1"/>
      <c r="B28" s="6"/>
      <c r="C28" s="19">
        <v>4</v>
      </c>
      <c r="D28" s="19"/>
      <c r="E28" s="19" t="s">
        <v>167</v>
      </c>
      <c r="F28" s="27"/>
      <c r="G28" s="27" t="s">
        <v>165</v>
      </c>
      <c r="H28" s="19"/>
      <c r="I28" s="26" t="s">
        <v>166</v>
      </c>
      <c r="J28" s="19"/>
      <c r="K28" s="7"/>
      <c r="L28" s="1"/>
    </row>
    <row r="29" spans="1:12" ht="30" customHeight="1">
      <c r="A29" s="1"/>
      <c r="B29" s="6"/>
      <c r="C29" s="19">
        <v>5</v>
      </c>
      <c r="D29" s="19"/>
      <c r="E29" s="19" t="s">
        <v>168</v>
      </c>
      <c r="F29" s="27"/>
      <c r="G29" s="27" t="s">
        <v>163</v>
      </c>
      <c r="H29" s="19"/>
      <c r="I29" s="26" t="s">
        <v>166</v>
      </c>
      <c r="J29" s="19"/>
      <c r="K29" s="7"/>
      <c r="L29" s="1"/>
    </row>
    <row r="30" spans="1:12" ht="30" customHeight="1">
      <c r="A30" s="1"/>
      <c r="B30" s="6"/>
      <c r="C30" s="18"/>
      <c r="D30" s="19"/>
      <c r="E30" s="20"/>
      <c r="H30" s="20"/>
      <c r="I30" s="18"/>
      <c r="J30" s="20"/>
      <c r="K30" s="7"/>
      <c r="L30" s="1"/>
    </row>
    <row r="31" spans="1:12" ht="30" customHeight="1" thickBot="1">
      <c r="A31" s="1"/>
      <c r="B31" s="28"/>
      <c r="C31" s="29"/>
      <c r="D31" s="29"/>
      <c r="E31" s="29"/>
      <c r="F31" s="30"/>
      <c r="G31" s="30"/>
      <c r="H31" s="30"/>
      <c r="I31" s="30"/>
      <c r="J31" s="30"/>
      <c r="K31" s="31"/>
      <c r="L31" s="1"/>
    </row>
    <row r="32" spans="1:12" ht="30" customHeight="1">
      <c r="A32" s="1"/>
      <c r="B32" s="32"/>
      <c r="C32" s="32"/>
      <c r="D32" s="32"/>
      <c r="E32" s="32"/>
      <c r="F32" s="32"/>
      <c r="G32" s="32"/>
      <c r="H32" s="32"/>
      <c r="I32" s="32"/>
      <c r="J32" s="32"/>
      <c r="K32" s="32"/>
      <c r="L32" s="1"/>
    </row>
    <row r="33" ht="16" hidden="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C3D3A-4530-144D-976F-07CFE050FD16}">
  <sheetPr codeName="Sheet5"/>
  <dimension ref="A1:AQ25"/>
  <sheetViews>
    <sheetView zoomScaleNormal="100" workbookViewId="0"/>
  </sheetViews>
  <sheetFormatPr baseColWidth="10" defaultColWidth="0" defaultRowHeight="0" customHeight="1" zeroHeight="1"/>
  <cols>
    <col min="1" max="2" width="5.83203125" style="15" customWidth="1"/>
    <col min="3" max="3" width="20.6640625" style="15" customWidth="1"/>
    <col min="4" max="20" width="10.5" style="15" customWidth="1"/>
    <col min="21" max="22" width="5.83203125" style="15" customWidth="1"/>
    <col min="23" max="24" width="10.83203125" style="15" hidden="1" customWidth="1"/>
    <col min="25" max="28" width="0" style="15" hidden="1" customWidth="1"/>
    <col min="29" max="29" width="10.83203125" style="15" hidden="1" customWidth="1"/>
    <col min="30" max="33" width="0" style="15" hidden="1" customWidth="1"/>
    <col min="34" max="34" width="10.83203125" style="15" hidden="1" customWidth="1"/>
    <col min="35" max="43" width="0" style="15" hidden="1" customWidth="1"/>
    <col min="44" max="16384" width="10.83203125" style="15" hidden="1"/>
  </cols>
  <sheetData>
    <row r="1" spans="1:22" ht="30" customHeight="1" thickBot="1">
      <c r="A1" s="1"/>
      <c r="B1" s="1"/>
      <c r="C1" s="1"/>
      <c r="D1" s="1"/>
      <c r="E1" s="1"/>
      <c r="F1" s="1"/>
      <c r="G1" s="1"/>
      <c r="H1" s="1"/>
      <c r="I1" s="1"/>
      <c r="J1" s="1"/>
      <c r="K1" s="1"/>
      <c r="L1" s="1"/>
      <c r="M1" s="1"/>
      <c r="N1" s="1"/>
      <c r="O1" s="1"/>
      <c r="P1" s="1"/>
      <c r="Q1" s="1"/>
      <c r="R1" s="1"/>
      <c r="S1" s="1"/>
      <c r="T1" s="1"/>
      <c r="U1" s="1"/>
      <c r="V1" s="1"/>
    </row>
    <row r="2" spans="1:22" ht="30" customHeight="1">
      <c r="A2" s="1"/>
      <c r="B2" s="2"/>
      <c r="C2" s="3"/>
      <c r="D2" s="3"/>
      <c r="E2" s="3"/>
      <c r="F2" s="3"/>
      <c r="G2" s="3"/>
      <c r="H2" s="3"/>
      <c r="I2" s="3"/>
      <c r="J2" s="3"/>
      <c r="K2" s="3"/>
      <c r="L2" s="4"/>
      <c r="M2" s="3"/>
      <c r="N2" s="3"/>
      <c r="O2" s="3"/>
      <c r="P2" s="3"/>
      <c r="Q2" s="3"/>
      <c r="R2" s="3"/>
      <c r="S2" s="3"/>
      <c r="T2" s="3"/>
      <c r="U2" s="5"/>
      <c r="V2" s="1"/>
    </row>
    <row r="3" spans="1:22" ht="30" customHeight="1">
      <c r="A3" s="1"/>
      <c r="B3" s="6"/>
      <c r="C3" s="105" t="s">
        <v>1521</v>
      </c>
      <c r="D3" s="105"/>
      <c r="E3" s="105"/>
      <c r="F3" s="105"/>
      <c r="G3" s="105"/>
      <c r="H3" s="105"/>
      <c r="I3" s="105"/>
      <c r="J3" s="105"/>
      <c r="K3" s="105"/>
      <c r="L3" s="105"/>
      <c r="M3" s="105"/>
      <c r="N3" s="105"/>
      <c r="O3" s="105"/>
      <c r="P3" s="105"/>
      <c r="Q3" s="105"/>
      <c r="R3" s="105"/>
      <c r="S3" s="105"/>
      <c r="T3" s="105"/>
      <c r="U3" s="7"/>
      <c r="V3" s="1"/>
    </row>
    <row r="4" spans="1:22" ht="30" customHeight="1" thickBot="1">
      <c r="A4" s="1"/>
      <c r="B4" s="6"/>
      <c r="C4" s="72"/>
      <c r="D4" s="18"/>
      <c r="E4" s="19"/>
      <c r="F4" s="20"/>
      <c r="G4" s="20"/>
      <c r="H4" s="20"/>
      <c r="I4" s="20"/>
      <c r="J4" s="20"/>
      <c r="K4" s="20"/>
      <c r="L4" s="18"/>
      <c r="M4" s="19"/>
      <c r="N4" s="20"/>
      <c r="O4" s="20"/>
      <c r="P4" s="20"/>
      <c r="Q4" s="20"/>
      <c r="R4" s="20"/>
      <c r="S4" s="20"/>
      <c r="T4" s="18"/>
      <c r="U4" s="7"/>
      <c r="V4" s="1"/>
    </row>
    <row r="5" spans="1:22" ht="30" customHeight="1" thickBot="1">
      <c r="A5" s="1"/>
      <c r="B5" s="6"/>
      <c r="C5" s="72"/>
      <c r="D5" s="118" t="s">
        <v>1493</v>
      </c>
      <c r="E5" s="119"/>
      <c r="F5" s="118" t="s">
        <v>1496</v>
      </c>
      <c r="G5" s="120"/>
      <c r="H5" s="120"/>
      <c r="I5" s="120"/>
      <c r="J5" s="120"/>
      <c r="K5" s="119"/>
      <c r="L5" s="118" t="s">
        <v>1497</v>
      </c>
      <c r="M5" s="119"/>
      <c r="N5" s="118" t="s">
        <v>1515</v>
      </c>
      <c r="O5" s="120"/>
      <c r="P5" s="120"/>
      <c r="Q5" s="120"/>
      <c r="R5" s="120"/>
      <c r="S5" s="120"/>
      <c r="T5" s="120"/>
      <c r="U5" s="7"/>
      <c r="V5" s="1"/>
    </row>
    <row r="6" spans="1:22" ht="30" customHeight="1" thickBot="1">
      <c r="A6" s="1"/>
      <c r="B6" s="6"/>
      <c r="C6" s="72"/>
      <c r="D6" s="71" t="s">
        <v>1495</v>
      </c>
      <c r="E6" s="71" t="s">
        <v>1494</v>
      </c>
      <c r="F6" s="115" t="s">
        <v>1495</v>
      </c>
      <c r="G6" s="116"/>
      <c r="H6" s="117"/>
      <c r="I6" s="115" t="s">
        <v>1594</v>
      </c>
      <c r="J6" s="116"/>
      <c r="K6" s="117"/>
      <c r="L6" s="71" t="s">
        <v>1495</v>
      </c>
      <c r="M6" s="71" t="s">
        <v>1494</v>
      </c>
      <c r="N6" s="115" t="s">
        <v>1495</v>
      </c>
      <c r="O6" s="116"/>
      <c r="P6" s="116"/>
      <c r="Q6" s="117"/>
      <c r="R6" s="115" t="s">
        <v>1494</v>
      </c>
      <c r="S6" s="116"/>
      <c r="T6" s="116"/>
      <c r="U6" s="7"/>
      <c r="V6" s="1"/>
    </row>
    <row r="7" spans="1:22" ht="30" customHeight="1" thickBot="1">
      <c r="A7" s="70"/>
      <c r="B7" s="6"/>
      <c r="C7" s="75" t="s">
        <v>1499</v>
      </c>
      <c r="D7" s="76"/>
      <c r="E7" s="76"/>
      <c r="F7" s="76" t="s">
        <v>1506</v>
      </c>
      <c r="G7" s="76" t="s">
        <v>1507</v>
      </c>
      <c r="H7" s="76" t="s">
        <v>1508</v>
      </c>
      <c r="I7" s="76" t="s">
        <v>1506</v>
      </c>
      <c r="J7" s="76" t="s">
        <v>1507</v>
      </c>
      <c r="K7" s="76" t="s">
        <v>1590</v>
      </c>
      <c r="L7" s="76" t="s">
        <v>1513</v>
      </c>
      <c r="M7" s="76" t="s">
        <v>1513</v>
      </c>
      <c r="N7" s="76" t="s">
        <v>1511</v>
      </c>
      <c r="O7" s="76" t="s">
        <v>1510</v>
      </c>
      <c r="P7" s="76" t="s">
        <v>1509</v>
      </c>
      <c r="Q7" s="76" t="s">
        <v>1512</v>
      </c>
      <c r="R7" s="76" t="s">
        <v>1570</v>
      </c>
      <c r="S7" s="76" t="s">
        <v>1571</v>
      </c>
      <c r="T7" s="76" t="s">
        <v>1572</v>
      </c>
      <c r="U7" s="7"/>
      <c r="V7" s="1"/>
    </row>
    <row r="8" spans="1:22" ht="30" customHeight="1" thickBot="1">
      <c r="A8" s="1"/>
      <c r="B8" s="6"/>
      <c r="C8" s="74" t="s">
        <v>1498</v>
      </c>
      <c r="D8" s="78"/>
      <c r="E8" s="98">
        <v>100</v>
      </c>
      <c r="F8" s="78"/>
      <c r="G8" s="78"/>
      <c r="H8" s="78"/>
      <c r="I8" s="109">
        <v>100</v>
      </c>
      <c r="J8" s="110"/>
      <c r="K8" s="111"/>
      <c r="L8" s="78" t="s">
        <v>1577</v>
      </c>
      <c r="M8" s="78" t="s">
        <v>1588</v>
      </c>
      <c r="N8" s="112" t="s">
        <v>1551</v>
      </c>
      <c r="O8" s="113"/>
      <c r="P8" s="113"/>
      <c r="Q8" s="114"/>
      <c r="R8" s="112" t="s">
        <v>1573</v>
      </c>
      <c r="S8" s="113"/>
      <c r="T8" s="114"/>
      <c r="U8" s="7"/>
      <c r="V8" s="1"/>
    </row>
    <row r="9" spans="1:22" ht="30" customHeight="1" thickBot="1">
      <c r="A9" s="1"/>
      <c r="B9" s="6"/>
      <c r="C9" s="74" t="s">
        <v>1516</v>
      </c>
      <c r="D9" s="78"/>
      <c r="E9" s="78" t="s">
        <v>512</v>
      </c>
      <c r="F9" s="112" t="s">
        <v>515</v>
      </c>
      <c r="G9" s="113"/>
      <c r="H9" s="114"/>
      <c r="I9" s="112" t="s">
        <v>1592</v>
      </c>
      <c r="J9" s="113"/>
      <c r="K9" s="114"/>
      <c r="L9" s="112" t="s">
        <v>1580</v>
      </c>
      <c r="M9" s="114"/>
      <c r="N9" s="78" t="s">
        <v>512</v>
      </c>
      <c r="O9" s="78" t="s">
        <v>512</v>
      </c>
      <c r="P9" s="78" t="s">
        <v>1558</v>
      </c>
      <c r="Q9" s="78" t="s">
        <v>1559</v>
      </c>
      <c r="R9" s="78" t="s">
        <v>512</v>
      </c>
      <c r="S9" s="78" t="s">
        <v>1558</v>
      </c>
      <c r="T9" s="78" t="s">
        <v>1558</v>
      </c>
      <c r="U9" s="7"/>
      <c r="V9" s="1"/>
    </row>
    <row r="10" spans="1:22" ht="30" customHeight="1" thickBot="1">
      <c r="A10" s="1"/>
      <c r="B10" s="6"/>
      <c r="C10" s="74" t="s">
        <v>1517</v>
      </c>
      <c r="D10" s="78"/>
      <c r="E10" s="78"/>
      <c r="F10" s="78" t="s">
        <v>2325</v>
      </c>
      <c r="G10" s="78" t="s">
        <v>1591</v>
      </c>
      <c r="H10" s="78" t="s">
        <v>1563</v>
      </c>
      <c r="I10" s="78" t="s">
        <v>1599</v>
      </c>
      <c r="J10" s="78" t="s">
        <v>1597</v>
      </c>
      <c r="K10" s="78" t="s">
        <v>1598</v>
      </c>
      <c r="L10" s="112" t="s">
        <v>1581</v>
      </c>
      <c r="M10" s="114"/>
      <c r="N10" s="78" t="s">
        <v>1563</v>
      </c>
      <c r="O10" s="78" t="s">
        <v>1563</v>
      </c>
      <c r="P10" s="78" t="s">
        <v>1561</v>
      </c>
      <c r="Q10" s="78" t="s">
        <v>1562</v>
      </c>
      <c r="R10" s="78" t="s">
        <v>1563</v>
      </c>
      <c r="S10" s="78" t="s">
        <v>1561</v>
      </c>
      <c r="T10" s="78" t="s">
        <v>1561</v>
      </c>
      <c r="U10" s="7"/>
      <c r="V10" s="1"/>
    </row>
    <row r="11" spans="1:22" ht="30" customHeight="1" thickBot="1">
      <c r="A11" s="1"/>
      <c r="B11" s="6"/>
      <c r="C11" s="74" t="s">
        <v>2330</v>
      </c>
      <c r="D11" s="78"/>
      <c r="E11" s="78"/>
      <c r="F11" s="98">
        <v>25</v>
      </c>
      <c r="G11" s="109">
        <v>10</v>
      </c>
      <c r="H11" s="111"/>
      <c r="I11" s="98">
        <v>5</v>
      </c>
      <c r="J11" s="109">
        <v>10</v>
      </c>
      <c r="K11" s="111"/>
      <c r="L11" s="109">
        <v>2500</v>
      </c>
      <c r="M11" s="111"/>
      <c r="N11" s="109">
        <v>1000</v>
      </c>
      <c r="O11" s="110"/>
      <c r="P11" s="110"/>
      <c r="Q11" s="110"/>
      <c r="R11" s="110"/>
      <c r="S11" s="110"/>
      <c r="T11" s="111"/>
      <c r="U11" s="7"/>
      <c r="V11" s="1"/>
    </row>
    <row r="12" spans="1:22" ht="30" customHeight="1" thickBot="1">
      <c r="A12" s="1"/>
      <c r="B12" s="6"/>
      <c r="C12" s="74" t="s">
        <v>1514</v>
      </c>
      <c r="D12" s="78"/>
      <c r="E12" s="78"/>
      <c r="F12" s="78"/>
      <c r="G12" s="78"/>
      <c r="H12" s="78"/>
      <c r="I12" s="78"/>
      <c r="J12" s="78"/>
      <c r="K12" s="78"/>
      <c r="L12" s="78" t="s">
        <v>1579</v>
      </c>
      <c r="M12" s="78" t="s">
        <v>1587</v>
      </c>
      <c r="N12" s="112" t="s">
        <v>1560</v>
      </c>
      <c r="O12" s="113"/>
      <c r="P12" s="113"/>
      <c r="Q12" s="114"/>
      <c r="R12" s="112" t="s">
        <v>1568</v>
      </c>
      <c r="S12" s="113"/>
      <c r="T12" s="114"/>
      <c r="U12" s="7"/>
      <c r="V12" s="1"/>
    </row>
    <row r="13" spans="1:22" ht="30" customHeight="1" thickBot="1">
      <c r="A13" s="1"/>
      <c r="B13" s="6"/>
      <c r="C13" s="74" t="s">
        <v>1518</v>
      </c>
      <c r="D13" s="78"/>
      <c r="E13" s="78"/>
      <c r="F13" s="78"/>
      <c r="G13" s="78"/>
      <c r="H13" s="78"/>
      <c r="I13" s="112" t="s">
        <v>1593</v>
      </c>
      <c r="J13" s="113"/>
      <c r="K13" s="114"/>
      <c r="L13" s="78"/>
      <c r="M13" s="78" t="s">
        <v>1575</v>
      </c>
      <c r="N13" s="78"/>
      <c r="O13" s="78"/>
      <c r="P13" s="78"/>
      <c r="Q13" s="78"/>
      <c r="R13" s="112" t="s">
        <v>1575</v>
      </c>
      <c r="S13" s="113"/>
      <c r="T13" s="114"/>
      <c r="U13" s="7"/>
      <c r="V13" s="1"/>
    </row>
    <row r="14" spans="1:22" ht="30" customHeight="1" thickBot="1">
      <c r="A14" s="1"/>
      <c r="B14" s="6"/>
      <c r="C14" s="74" t="s">
        <v>1519</v>
      </c>
      <c r="D14" s="78"/>
      <c r="E14" s="78" t="s">
        <v>2426</v>
      </c>
      <c r="F14" s="112" t="s">
        <v>2429</v>
      </c>
      <c r="G14" s="113"/>
      <c r="H14" s="114"/>
      <c r="I14" s="112" t="s">
        <v>2430</v>
      </c>
      <c r="J14" s="113"/>
      <c r="K14" s="77" t="s">
        <v>1596</v>
      </c>
      <c r="L14" s="78" t="s">
        <v>2427</v>
      </c>
      <c r="M14" s="78" t="s">
        <v>2431</v>
      </c>
      <c r="N14" s="112" t="s">
        <v>2424</v>
      </c>
      <c r="O14" s="113"/>
      <c r="P14" s="113"/>
      <c r="Q14" s="114"/>
      <c r="R14" s="112" t="s">
        <v>2425</v>
      </c>
      <c r="S14" s="113"/>
      <c r="T14" s="114"/>
      <c r="U14" s="7"/>
      <c r="V14" s="1"/>
    </row>
    <row r="15" spans="1:22" ht="30" customHeight="1" thickBot="1">
      <c r="A15" s="1"/>
      <c r="B15" s="6"/>
      <c r="C15" s="74" t="s">
        <v>1500</v>
      </c>
      <c r="D15" s="78"/>
      <c r="E15" s="78" t="s">
        <v>1601</v>
      </c>
      <c r="F15" s="112" t="s">
        <v>1578</v>
      </c>
      <c r="G15" s="113"/>
      <c r="H15" s="113"/>
      <c r="I15" s="113"/>
      <c r="J15" s="113"/>
      <c r="K15" s="114"/>
      <c r="L15" s="78" t="s">
        <v>1578</v>
      </c>
      <c r="M15" s="78" t="s">
        <v>1586</v>
      </c>
      <c r="N15" s="112" t="s">
        <v>1552</v>
      </c>
      <c r="O15" s="113"/>
      <c r="P15" s="113"/>
      <c r="Q15" s="114"/>
      <c r="R15" s="112" t="s">
        <v>1567</v>
      </c>
      <c r="S15" s="113"/>
      <c r="T15" s="114"/>
      <c r="U15" s="7"/>
      <c r="V15" s="1"/>
    </row>
    <row r="16" spans="1:22" ht="30" customHeight="1" thickBot="1">
      <c r="A16" s="1"/>
      <c r="B16" s="6"/>
      <c r="C16" s="74" t="s">
        <v>238</v>
      </c>
      <c r="D16" s="78"/>
      <c r="E16" s="78"/>
      <c r="F16" s="78"/>
      <c r="G16" s="78"/>
      <c r="H16" s="78"/>
      <c r="I16" s="78"/>
      <c r="J16" s="78"/>
      <c r="K16" s="78"/>
      <c r="L16" s="78"/>
      <c r="M16" s="78"/>
      <c r="N16" s="78" t="s">
        <v>1555</v>
      </c>
      <c r="O16" s="78" t="s">
        <v>1554</v>
      </c>
      <c r="P16" s="78" t="s">
        <v>1553</v>
      </c>
      <c r="Q16" s="78" t="s">
        <v>1556</v>
      </c>
      <c r="R16" s="78" t="s">
        <v>1555</v>
      </c>
      <c r="S16" s="78" t="s">
        <v>1554</v>
      </c>
      <c r="T16" s="78" t="s">
        <v>1553</v>
      </c>
      <c r="U16" s="7"/>
      <c r="V16" s="1"/>
    </row>
    <row r="17" spans="1:22" ht="30" customHeight="1" thickBot="1">
      <c r="A17" s="1"/>
      <c r="B17" s="6"/>
      <c r="C17" s="74" t="s">
        <v>1502</v>
      </c>
      <c r="D17" s="78"/>
      <c r="E17" s="78">
        <v>7</v>
      </c>
      <c r="F17" s="78"/>
      <c r="G17" s="78"/>
      <c r="H17" s="78"/>
      <c r="I17" s="112" t="s">
        <v>2428</v>
      </c>
      <c r="J17" s="113"/>
      <c r="K17" s="114"/>
      <c r="L17" s="78" t="s">
        <v>1585</v>
      </c>
      <c r="M17" s="78" t="s">
        <v>1589</v>
      </c>
      <c r="N17" s="78"/>
      <c r="O17" s="78"/>
      <c r="P17" s="78"/>
      <c r="Q17" s="78"/>
      <c r="R17" s="112" t="s">
        <v>1574</v>
      </c>
      <c r="S17" s="113"/>
      <c r="T17" s="114"/>
      <c r="U17" s="7"/>
      <c r="V17" s="1"/>
    </row>
    <row r="18" spans="1:22" ht="30" customHeight="1" thickBot="1">
      <c r="A18" s="1"/>
      <c r="B18" s="6"/>
      <c r="C18" s="74" t="s">
        <v>1501</v>
      </c>
      <c r="D18" s="78"/>
      <c r="E18" s="78" t="s">
        <v>2433</v>
      </c>
      <c r="F18" s="112" t="s">
        <v>1600</v>
      </c>
      <c r="G18" s="113"/>
      <c r="H18" s="114"/>
      <c r="I18" s="112" t="s">
        <v>2434</v>
      </c>
      <c r="J18" s="113"/>
      <c r="K18" s="114"/>
      <c r="L18" s="112" t="s">
        <v>1582</v>
      </c>
      <c r="M18" s="114"/>
      <c r="N18" s="112" t="s">
        <v>2432</v>
      </c>
      <c r="O18" s="113"/>
      <c r="P18" s="113"/>
      <c r="Q18" s="114"/>
      <c r="R18" s="112" t="s">
        <v>1569</v>
      </c>
      <c r="S18" s="113"/>
      <c r="T18" s="114"/>
      <c r="U18" s="7"/>
      <c r="V18" s="1"/>
    </row>
    <row r="19" spans="1:22" ht="30" customHeight="1" thickBot="1">
      <c r="A19" s="1"/>
      <c r="B19" s="6"/>
      <c r="C19" s="74" t="s">
        <v>1520</v>
      </c>
      <c r="D19" s="78"/>
      <c r="E19" s="78"/>
      <c r="F19" s="78"/>
      <c r="G19" s="78"/>
      <c r="H19" s="78"/>
      <c r="I19" s="112" t="s">
        <v>1595</v>
      </c>
      <c r="J19" s="113"/>
      <c r="K19" s="114"/>
      <c r="L19" s="78" t="s">
        <v>1582</v>
      </c>
      <c r="M19" s="78"/>
      <c r="N19" s="112" t="s">
        <v>1564</v>
      </c>
      <c r="O19" s="113"/>
      <c r="P19" s="113"/>
      <c r="Q19" s="114"/>
      <c r="R19" s="78"/>
      <c r="S19" s="78"/>
      <c r="T19" s="78"/>
      <c r="U19" s="7"/>
      <c r="V19" s="1"/>
    </row>
    <row r="20" spans="1:22" ht="30" customHeight="1" thickBot="1">
      <c r="A20" s="1"/>
      <c r="B20" s="6"/>
      <c r="C20" s="74" t="s">
        <v>1503</v>
      </c>
      <c r="D20" s="78"/>
      <c r="E20" s="78"/>
      <c r="F20" s="78"/>
      <c r="G20" s="78"/>
      <c r="H20" s="78"/>
      <c r="I20" s="112" t="s">
        <v>1576</v>
      </c>
      <c r="J20" s="113"/>
      <c r="K20" s="114"/>
      <c r="L20" s="78" t="s">
        <v>1583</v>
      </c>
      <c r="M20" s="78" t="s">
        <v>1576</v>
      </c>
      <c r="N20" s="112" t="s">
        <v>1565</v>
      </c>
      <c r="O20" s="113"/>
      <c r="P20" s="113"/>
      <c r="Q20" s="114"/>
      <c r="R20" s="112" t="s">
        <v>1576</v>
      </c>
      <c r="S20" s="113"/>
      <c r="T20" s="114"/>
      <c r="U20" s="7"/>
      <c r="V20" s="1"/>
    </row>
    <row r="21" spans="1:22" ht="30" customHeight="1" thickBot="1">
      <c r="A21" s="1"/>
      <c r="B21" s="6"/>
      <c r="C21" s="74" t="s">
        <v>1504</v>
      </c>
      <c r="D21" s="78"/>
      <c r="E21" s="78"/>
      <c r="F21" s="78"/>
      <c r="G21" s="78"/>
      <c r="H21" s="78"/>
      <c r="I21" s="112" t="s">
        <v>1576</v>
      </c>
      <c r="J21" s="113"/>
      <c r="K21" s="114"/>
      <c r="L21" s="78" t="s">
        <v>1584</v>
      </c>
      <c r="M21" s="78"/>
      <c r="N21" s="112" t="s">
        <v>1566</v>
      </c>
      <c r="O21" s="113"/>
      <c r="P21" s="113"/>
      <c r="Q21" s="114"/>
      <c r="R21" s="78"/>
      <c r="S21" s="78"/>
      <c r="T21" s="78"/>
      <c r="U21" s="7"/>
      <c r="V21" s="1"/>
    </row>
    <row r="22" spans="1:22" ht="30" customHeight="1" thickBot="1">
      <c r="A22" s="1"/>
      <c r="B22" s="6"/>
      <c r="C22" s="74" t="s">
        <v>1505</v>
      </c>
      <c r="D22" s="78"/>
      <c r="E22" s="78"/>
      <c r="F22" s="78"/>
      <c r="G22" s="78"/>
      <c r="H22" s="78"/>
      <c r="I22" s="78"/>
      <c r="J22" s="78"/>
      <c r="K22" s="78"/>
      <c r="L22" s="78"/>
      <c r="M22" s="78"/>
      <c r="N22" s="78" t="s">
        <v>438</v>
      </c>
      <c r="O22" s="78" t="s">
        <v>438</v>
      </c>
      <c r="P22" s="78" t="s">
        <v>438</v>
      </c>
      <c r="Q22" s="78" t="s">
        <v>1557</v>
      </c>
      <c r="R22" s="78"/>
      <c r="S22" s="78"/>
      <c r="T22" s="78"/>
      <c r="U22" s="7"/>
      <c r="V22" s="1"/>
    </row>
    <row r="23" spans="1:22" ht="30" customHeight="1" thickBot="1">
      <c r="A23" s="1"/>
      <c r="B23" s="28"/>
      <c r="C23" s="73"/>
      <c r="D23" s="73"/>
      <c r="E23" s="73"/>
      <c r="F23" s="73"/>
      <c r="G23" s="73"/>
      <c r="H23" s="73"/>
      <c r="I23" s="73"/>
      <c r="J23" s="73"/>
      <c r="K23" s="73"/>
      <c r="L23" s="73"/>
      <c r="M23" s="73"/>
      <c r="N23" s="73"/>
      <c r="O23" s="73"/>
      <c r="P23" s="73"/>
      <c r="Q23" s="73"/>
      <c r="R23" s="73"/>
      <c r="S23" s="73"/>
      <c r="T23" s="73"/>
      <c r="U23" s="31"/>
      <c r="V23" s="1"/>
    </row>
    <row r="24" spans="1:22" ht="30" customHeight="1">
      <c r="A24" s="1"/>
      <c r="B24" s="32"/>
      <c r="C24" s="32"/>
      <c r="D24" s="32"/>
      <c r="E24" s="32"/>
      <c r="F24" s="32"/>
      <c r="G24" s="32"/>
      <c r="H24" s="32"/>
      <c r="I24" s="32"/>
      <c r="J24" s="32"/>
      <c r="K24" s="32"/>
      <c r="L24" s="32"/>
      <c r="M24" s="32"/>
      <c r="N24" s="32"/>
      <c r="O24" s="32"/>
      <c r="P24" s="32"/>
      <c r="Q24" s="32"/>
      <c r="R24" s="32"/>
      <c r="S24" s="32"/>
      <c r="T24" s="32"/>
      <c r="U24" s="32"/>
      <c r="V24" s="1"/>
    </row>
    <row r="25" spans="1:22" ht="16" hidden="1"/>
  </sheetData>
  <mergeCells count="45">
    <mergeCell ref="N19:Q19"/>
    <mergeCell ref="N6:Q6"/>
    <mergeCell ref="I6:K6"/>
    <mergeCell ref="F6:H6"/>
    <mergeCell ref="C3:T3"/>
    <mergeCell ref="D5:E5"/>
    <mergeCell ref="N5:T5"/>
    <mergeCell ref="F5:K5"/>
    <mergeCell ref="L5:M5"/>
    <mergeCell ref="L9:M9"/>
    <mergeCell ref="L10:M10"/>
    <mergeCell ref="L18:M18"/>
    <mergeCell ref="I9:K9"/>
    <mergeCell ref="I8:K8"/>
    <mergeCell ref="I13:K13"/>
    <mergeCell ref="I17:K17"/>
    <mergeCell ref="N20:Q20"/>
    <mergeCell ref="N21:Q21"/>
    <mergeCell ref="R6:T6"/>
    <mergeCell ref="N15:Q15"/>
    <mergeCell ref="R8:T8"/>
    <mergeCell ref="R15:T15"/>
    <mergeCell ref="R12:T12"/>
    <mergeCell ref="R14:T14"/>
    <mergeCell ref="R18:T18"/>
    <mergeCell ref="R17:T17"/>
    <mergeCell ref="R13:T13"/>
    <mergeCell ref="R20:T20"/>
    <mergeCell ref="N12:Q12"/>
    <mergeCell ref="N8:Q8"/>
    <mergeCell ref="N14:Q14"/>
    <mergeCell ref="N18:Q18"/>
    <mergeCell ref="I21:K21"/>
    <mergeCell ref="F15:K15"/>
    <mergeCell ref="F18:H18"/>
    <mergeCell ref="F14:H14"/>
    <mergeCell ref="I19:K19"/>
    <mergeCell ref="I20:K20"/>
    <mergeCell ref="I14:J14"/>
    <mergeCell ref="I18:K18"/>
    <mergeCell ref="N11:T11"/>
    <mergeCell ref="F9:H9"/>
    <mergeCell ref="G11:H11"/>
    <mergeCell ref="J11:K11"/>
    <mergeCell ref="L11:M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B0EA3-D4E9-B24E-893B-D27D85F582D4}">
  <sheetPr codeName="Sheet6"/>
  <dimension ref="A1:AQ20"/>
  <sheetViews>
    <sheetView zoomScaleNormal="100" workbookViewId="0"/>
  </sheetViews>
  <sheetFormatPr baseColWidth="10" defaultColWidth="0" defaultRowHeight="16"/>
  <cols>
    <col min="1" max="2" width="5.83203125" style="15" customWidth="1"/>
    <col min="3" max="8" width="31" style="15" customWidth="1"/>
    <col min="9" max="10" width="5.83203125" style="15" customWidth="1"/>
    <col min="11" max="12" width="10.83203125" style="15" hidden="1" customWidth="1"/>
    <col min="13" max="16" width="0" style="15" hidden="1" customWidth="1"/>
    <col min="17" max="17" width="10.83203125" style="15" hidden="1" customWidth="1"/>
    <col min="18" max="21" width="0" style="15" hidden="1" customWidth="1"/>
    <col min="22" max="22" width="10.83203125" style="15" hidden="1" customWidth="1"/>
    <col min="23" max="43" width="0" style="15" hidden="1" customWidth="1"/>
    <col min="44" max="16384" width="10.83203125" style="15" hidden="1"/>
  </cols>
  <sheetData>
    <row r="1" spans="1:10" ht="30" customHeight="1" thickBot="1">
      <c r="A1" s="1"/>
      <c r="B1" s="1"/>
      <c r="C1" s="1"/>
      <c r="D1" s="1"/>
      <c r="E1" s="1"/>
      <c r="F1" s="1"/>
      <c r="G1" s="1"/>
      <c r="H1" s="1"/>
      <c r="I1" s="1"/>
      <c r="J1" s="1"/>
    </row>
    <row r="2" spans="1:10" ht="30" customHeight="1">
      <c r="A2" s="1"/>
      <c r="B2" s="2"/>
      <c r="C2" s="3"/>
      <c r="D2" s="3"/>
      <c r="E2" s="3"/>
      <c r="F2" s="3"/>
      <c r="G2" s="3"/>
      <c r="H2" s="3"/>
      <c r="I2" s="5"/>
      <c r="J2" s="1"/>
    </row>
    <row r="3" spans="1:10" ht="30" customHeight="1">
      <c r="A3" s="1"/>
      <c r="B3" s="6"/>
      <c r="C3" s="105" t="s">
        <v>2376</v>
      </c>
      <c r="D3" s="105"/>
      <c r="E3" s="105"/>
      <c r="F3" s="105"/>
      <c r="G3" s="105"/>
      <c r="H3" s="105"/>
      <c r="I3" s="7"/>
      <c r="J3" s="1"/>
    </row>
    <row r="4" spans="1:10" ht="30" customHeight="1" thickBot="1">
      <c r="A4" s="1"/>
      <c r="B4" s="6"/>
      <c r="C4" s="72"/>
      <c r="D4" s="18"/>
      <c r="E4" s="19"/>
      <c r="F4" s="20"/>
      <c r="G4" s="20"/>
      <c r="H4" s="20"/>
      <c r="I4" s="7"/>
      <c r="J4" s="1"/>
    </row>
    <row r="5" spans="1:10" ht="30" customHeight="1" thickBot="1">
      <c r="A5" s="1"/>
      <c r="B5" s="6"/>
      <c r="C5" s="99" t="s">
        <v>2338</v>
      </c>
      <c r="D5" s="99" t="s">
        <v>2339</v>
      </c>
      <c r="E5" s="99" t="s">
        <v>2375</v>
      </c>
      <c r="F5" s="99" t="s">
        <v>2360</v>
      </c>
      <c r="G5" s="100" t="s">
        <v>2361</v>
      </c>
      <c r="H5" s="100" t="s">
        <v>2362</v>
      </c>
      <c r="I5" s="7"/>
      <c r="J5" s="1"/>
    </row>
    <row r="6" spans="1:10" ht="52" thickBot="1">
      <c r="A6" s="70"/>
      <c r="B6" s="6"/>
      <c r="C6" s="75" t="s">
        <v>2340</v>
      </c>
      <c r="D6" s="101" t="s">
        <v>2351</v>
      </c>
      <c r="E6" s="78" t="s">
        <v>2359</v>
      </c>
      <c r="F6" s="101" t="s">
        <v>632</v>
      </c>
      <c r="G6" s="101" t="s">
        <v>2369</v>
      </c>
      <c r="H6" s="121" t="s">
        <v>2377</v>
      </c>
      <c r="I6" s="7"/>
      <c r="J6" s="1"/>
    </row>
    <row r="7" spans="1:10" ht="35" thickBot="1">
      <c r="A7" s="70"/>
      <c r="B7" s="6"/>
      <c r="C7" s="75" t="s">
        <v>2342</v>
      </c>
      <c r="D7" s="101" t="s">
        <v>2352</v>
      </c>
      <c r="E7" s="78" t="s">
        <v>2359</v>
      </c>
      <c r="F7" s="121" t="s">
        <v>2363</v>
      </c>
      <c r="G7" s="121" t="s">
        <v>2370</v>
      </c>
      <c r="H7" s="122"/>
      <c r="I7" s="7"/>
      <c r="J7" s="1"/>
    </row>
    <row r="8" spans="1:10" ht="35" thickBot="1">
      <c r="A8" s="70"/>
      <c r="B8" s="6"/>
      <c r="C8" s="75" t="s">
        <v>2343</v>
      </c>
      <c r="D8" s="101" t="s">
        <v>2420</v>
      </c>
      <c r="E8" s="78" t="s">
        <v>2359</v>
      </c>
      <c r="F8" s="122"/>
      <c r="G8" s="122"/>
      <c r="H8" s="121" t="s">
        <v>2378</v>
      </c>
      <c r="I8" s="7"/>
      <c r="J8" s="1"/>
    </row>
    <row r="9" spans="1:10" ht="35" thickBot="1">
      <c r="A9" s="70"/>
      <c r="B9" s="6"/>
      <c r="C9" s="75" t="s">
        <v>2344</v>
      </c>
      <c r="D9" s="101" t="s">
        <v>2421</v>
      </c>
      <c r="E9" s="78" t="s">
        <v>2359</v>
      </c>
      <c r="F9" s="101" t="s">
        <v>632</v>
      </c>
      <c r="G9" s="101" t="s">
        <v>2371</v>
      </c>
      <c r="H9" s="122"/>
      <c r="I9" s="7"/>
      <c r="J9" s="1"/>
    </row>
    <row r="10" spans="1:10" ht="35" thickBot="1">
      <c r="A10" s="70"/>
      <c r="B10" s="6"/>
      <c r="C10" s="75" t="s">
        <v>2345</v>
      </c>
      <c r="D10" s="101" t="s">
        <v>2353</v>
      </c>
      <c r="E10" s="78" t="s">
        <v>2341</v>
      </c>
      <c r="F10" s="101" t="s">
        <v>2364</v>
      </c>
      <c r="G10" s="101" t="s">
        <v>2365</v>
      </c>
      <c r="H10" s="101" t="s">
        <v>2417</v>
      </c>
      <c r="I10" s="7"/>
      <c r="J10" s="1"/>
    </row>
    <row r="11" spans="1:10" ht="69" thickBot="1">
      <c r="A11" s="70"/>
      <c r="B11" s="6"/>
      <c r="C11" s="75" t="s">
        <v>2346</v>
      </c>
      <c r="D11" s="101" t="s">
        <v>2354</v>
      </c>
      <c r="E11" s="78" t="s">
        <v>2358</v>
      </c>
      <c r="F11" s="101" t="s">
        <v>2364</v>
      </c>
      <c r="G11" s="101" t="s">
        <v>2365</v>
      </c>
      <c r="H11" s="76" t="s">
        <v>2379</v>
      </c>
      <c r="I11" s="7"/>
      <c r="J11" s="1"/>
    </row>
    <row r="12" spans="1:10" ht="69" thickBot="1">
      <c r="A12" s="70"/>
      <c r="B12" s="6"/>
      <c r="C12" s="75" t="s">
        <v>2347</v>
      </c>
      <c r="D12" s="101" t="s">
        <v>2355</v>
      </c>
      <c r="E12" s="78"/>
      <c r="F12" s="101" t="s">
        <v>2366</v>
      </c>
      <c r="G12" s="101" t="s">
        <v>2372</v>
      </c>
      <c r="H12" s="101" t="s">
        <v>2380</v>
      </c>
      <c r="I12" s="7"/>
      <c r="J12" s="1"/>
    </row>
    <row r="13" spans="1:10" ht="52" thickBot="1">
      <c r="A13" s="70"/>
      <c r="B13" s="6"/>
      <c r="C13" s="75" t="s">
        <v>2348</v>
      </c>
      <c r="D13" s="101" t="s">
        <v>2356</v>
      </c>
      <c r="E13" s="78" t="s">
        <v>2349</v>
      </c>
      <c r="F13" s="76" t="s">
        <v>2367</v>
      </c>
      <c r="G13" s="101" t="s">
        <v>2368</v>
      </c>
      <c r="H13" s="121" t="s">
        <v>2381</v>
      </c>
      <c r="I13" s="7"/>
      <c r="J13" s="1"/>
    </row>
    <row r="14" spans="1:10" ht="52" thickBot="1">
      <c r="A14" s="70"/>
      <c r="B14" s="6"/>
      <c r="C14" s="75" t="s">
        <v>2350</v>
      </c>
      <c r="D14" s="76" t="s">
        <v>2357</v>
      </c>
      <c r="E14" s="78" t="s">
        <v>2349</v>
      </c>
      <c r="F14" s="76" t="s">
        <v>2368</v>
      </c>
      <c r="G14" s="101" t="s">
        <v>2394</v>
      </c>
      <c r="H14" s="122"/>
      <c r="I14" s="7"/>
      <c r="J14" s="1"/>
    </row>
    <row r="15" spans="1:10" ht="52" thickBot="1">
      <c r="A15" s="70"/>
      <c r="B15" s="6"/>
      <c r="C15" s="75" t="s">
        <v>2373</v>
      </c>
      <c r="D15" s="101" t="s">
        <v>2374</v>
      </c>
      <c r="E15" s="78" t="s">
        <v>2359</v>
      </c>
      <c r="F15" s="101" t="s">
        <v>2393</v>
      </c>
      <c r="G15" s="76" t="s">
        <v>2392</v>
      </c>
      <c r="H15" s="76" t="s">
        <v>2391</v>
      </c>
      <c r="I15" s="7"/>
      <c r="J15" s="1"/>
    </row>
    <row r="16" spans="1:10" ht="52" thickBot="1">
      <c r="A16" s="70"/>
      <c r="B16" s="6"/>
      <c r="C16" s="75" t="s">
        <v>537</v>
      </c>
      <c r="D16" s="101" t="s">
        <v>2382</v>
      </c>
      <c r="E16" s="78" t="s">
        <v>2390</v>
      </c>
      <c r="F16" s="101" t="s">
        <v>2171</v>
      </c>
      <c r="G16" s="101" t="s">
        <v>2171</v>
      </c>
      <c r="H16" s="102" t="s">
        <v>2387</v>
      </c>
      <c r="I16" s="7"/>
      <c r="J16" s="1"/>
    </row>
    <row r="17" spans="1:10" ht="52" thickBot="1">
      <c r="A17" s="70"/>
      <c r="B17" s="6"/>
      <c r="C17" s="75" t="s">
        <v>536</v>
      </c>
      <c r="D17" s="101" t="s">
        <v>2383</v>
      </c>
      <c r="E17" s="78" t="s">
        <v>2389</v>
      </c>
      <c r="F17" s="101" t="s">
        <v>2171</v>
      </c>
      <c r="G17" s="101" t="s">
        <v>2171</v>
      </c>
      <c r="H17" s="103" t="s">
        <v>2388</v>
      </c>
      <c r="I17" s="7"/>
      <c r="J17" s="1"/>
    </row>
    <row r="18" spans="1:10" ht="35" thickBot="1">
      <c r="A18" s="70"/>
      <c r="B18" s="6"/>
      <c r="C18" s="75" t="s">
        <v>2384</v>
      </c>
      <c r="D18" s="101" t="s">
        <v>2385</v>
      </c>
      <c r="E18" s="78" t="s">
        <v>2359</v>
      </c>
      <c r="F18" s="101" t="s">
        <v>2171</v>
      </c>
      <c r="G18" s="101" t="s">
        <v>2171</v>
      </c>
      <c r="H18" s="76" t="s">
        <v>2386</v>
      </c>
      <c r="I18" s="7"/>
      <c r="J18" s="1"/>
    </row>
    <row r="19" spans="1:10" ht="17" thickBot="1">
      <c r="A19" s="1"/>
      <c r="B19" s="28"/>
      <c r="C19" s="73"/>
      <c r="D19" s="73"/>
      <c r="E19" s="73"/>
      <c r="F19" s="73"/>
      <c r="G19" s="73"/>
      <c r="H19" s="73"/>
      <c r="I19" s="31"/>
      <c r="J19" s="1"/>
    </row>
    <row r="20" spans="1:10">
      <c r="A20" s="1"/>
      <c r="B20" s="32"/>
      <c r="C20" s="32"/>
      <c r="D20" s="32"/>
      <c r="E20" s="32"/>
      <c r="F20" s="32"/>
      <c r="G20" s="32"/>
      <c r="H20" s="32"/>
      <c r="I20" s="32"/>
      <c r="J20" s="1"/>
    </row>
  </sheetData>
  <mergeCells count="6">
    <mergeCell ref="C3:H3"/>
    <mergeCell ref="H6:H7"/>
    <mergeCell ref="H8:H9"/>
    <mergeCell ref="H13:H14"/>
    <mergeCell ref="F7:F8"/>
    <mergeCell ref="G7:G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C5958-8269-0E44-9AD6-47814444AA56}">
  <sheetPr codeName="Sheet2"/>
  <dimension ref="A1:Q17"/>
  <sheetViews>
    <sheetView zoomScaleNormal="100" workbookViewId="0"/>
  </sheetViews>
  <sheetFormatPr baseColWidth="10" defaultColWidth="0" defaultRowHeight="16" zeroHeight="1"/>
  <cols>
    <col min="1" max="2" width="5.33203125" customWidth="1"/>
    <col min="3" max="13" width="16.83203125" customWidth="1"/>
    <col min="14" max="15" width="5.33203125" customWidth="1"/>
    <col min="16" max="16" width="10.83203125" hidden="1" customWidth="1"/>
    <col min="17" max="17" width="0" hidden="1" customWidth="1"/>
    <col min="18" max="16384" width="10.83203125" hidden="1"/>
  </cols>
  <sheetData>
    <row r="1" spans="1:17" ht="27" customHeight="1" thickBot="1">
      <c r="A1" s="35"/>
      <c r="B1" s="35"/>
      <c r="C1" s="35"/>
      <c r="D1" s="35"/>
      <c r="E1" s="35"/>
      <c r="F1" s="35"/>
      <c r="G1" s="35"/>
      <c r="H1" s="35"/>
      <c r="I1" s="35"/>
      <c r="J1" s="35"/>
      <c r="K1" s="35"/>
      <c r="L1" s="35"/>
      <c r="M1" s="35"/>
      <c r="N1" s="35"/>
      <c r="O1" s="1"/>
      <c r="Q1" s="33" t="s">
        <v>55</v>
      </c>
    </row>
    <row r="2" spans="1:17" ht="27" customHeight="1">
      <c r="A2" s="35"/>
      <c r="B2" s="36"/>
      <c r="C2" s="37"/>
      <c r="D2" s="37"/>
      <c r="E2" s="37"/>
      <c r="F2" s="37"/>
      <c r="G2" s="37"/>
      <c r="H2" s="37"/>
      <c r="I2" s="37"/>
      <c r="J2" s="37"/>
      <c r="K2" s="37"/>
      <c r="L2" s="37"/>
      <c r="M2" s="37"/>
      <c r="N2" s="38"/>
      <c r="O2" s="1"/>
      <c r="Q2" s="34">
        <f>MAX(Table1['#])</f>
        <v>614</v>
      </c>
    </row>
    <row r="3" spans="1:17" ht="27" customHeight="1">
      <c r="A3" s="35"/>
      <c r="B3" s="39"/>
      <c r="C3" s="40"/>
      <c r="D3" s="41" t="s">
        <v>2270</v>
      </c>
      <c r="E3" s="41"/>
      <c r="F3" s="41"/>
      <c r="G3" s="41"/>
      <c r="H3" s="41"/>
      <c r="I3" s="41"/>
      <c r="J3" s="55"/>
      <c r="K3" s="123" t="str">
        <f>"Frage  #  "&amp;M5&amp;"  von  "&amp;Intro!D9</f>
        <v>Frage  #  1  von  614</v>
      </c>
      <c r="L3" s="123"/>
      <c r="M3" s="123"/>
      <c r="N3" s="42"/>
      <c r="O3" s="1"/>
    </row>
    <row r="4" spans="1:17" ht="27" customHeight="1">
      <c r="A4" s="35"/>
      <c r="B4" s="39"/>
      <c r="C4" s="43"/>
      <c r="D4" s="44"/>
      <c r="E4" s="45"/>
      <c r="F4" s="45"/>
      <c r="G4" s="45"/>
      <c r="H4" s="45"/>
      <c r="I4" s="45"/>
      <c r="J4" s="44"/>
      <c r="K4" s="44"/>
      <c r="L4" s="44"/>
      <c r="M4" s="44"/>
      <c r="N4" s="42"/>
      <c r="O4" s="1"/>
    </row>
    <row r="5" spans="1:17" ht="27" customHeight="1">
      <c r="A5" s="35"/>
      <c r="B5" s="39"/>
      <c r="C5" s="46" t="s">
        <v>170</v>
      </c>
      <c r="D5" s="127" t="str">
        <f>VLOOKUP(M5,Table1[#All],2,FALSE)</f>
        <v>1. Kassamärkte</v>
      </c>
      <c r="E5" s="127"/>
      <c r="F5" s="127"/>
      <c r="G5" s="127"/>
      <c r="H5" s="127"/>
      <c r="I5" s="127"/>
      <c r="J5" s="127"/>
      <c r="K5" s="57" t="s">
        <v>1289</v>
      </c>
      <c r="L5" s="47"/>
      <c r="M5" s="48">
        <v>1</v>
      </c>
      <c r="N5" s="42"/>
      <c r="O5" s="1"/>
    </row>
    <row r="6" spans="1:17" ht="27" customHeight="1">
      <c r="A6" s="35"/>
      <c r="B6" s="39"/>
      <c r="C6" s="46"/>
      <c r="D6" s="44"/>
      <c r="E6" s="45"/>
      <c r="F6" s="45"/>
      <c r="G6" s="45"/>
      <c r="H6" s="45"/>
      <c r="I6" s="45"/>
      <c r="J6" s="44"/>
      <c r="K6" s="44"/>
      <c r="L6" s="44"/>
      <c r="M6" s="44"/>
      <c r="N6" s="42"/>
      <c r="O6" s="1"/>
    </row>
    <row r="7" spans="1:17" ht="78" customHeight="1">
      <c r="A7" s="35"/>
      <c r="B7" s="39"/>
      <c r="C7" s="46" t="s">
        <v>171</v>
      </c>
      <c r="D7" s="130" t="str">
        <f>VLOOKUP(M5,Table1[#All],3,FALSE)</f>
        <v>Für eine identische Laufzeit ist der Euro-Zins höher als der entsprechende US-Zins. Der Devisenterminkurs des Euro (in USD) ist höher als der Devisen-Spotkurs.</v>
      </c>
      <c r="E7" s="130"/>
      <c r="F7" s="130"/>
      <c r="G7" s="130"/>
      <c r="H7" s="130"/>
      <c r="I7" s="130"/>
      <c r="J7" s="130"/>
      <c r="K7" s="57" t="s">
        <v>178</v>
      </c>
      <c r="L7" s="56"/>
      <c r="M7" s="44"/>
      <c r="N7" s="42"/>
      <c r="O7" s="1"/>
    </row>
    <row r="8" spans="1:17" ht="78" customHeight="1">
      <c r="A8" s="35"/>
      <c r="B8" s="39"/>
      <c r="C8" s="46"/>
      <c r="D8" s="130"/>
      <c r="E8" s="130"/>
      <c r="F8" s="130"/>
      <c r="G8" s="130"/>
      <c r="H8" s="130"/>
      <c r="I8" s="130"/>
      <c r="J8" s="130"/>
      <c r="K8" s="57"/>
      <c r="L8" s="56"/>
      <c r="M8" s="44"/>
      <c r="N8" s="42"/>
      <c r="O8" s="1"/>
    </row>
    <row r="9" spans="1:17" ht="27" customHeight="1">
      <c r="A9" s="35"/>
      <c r="B9" s="39"/>
      <c r="C9" s="46"/>
      <c r="D9" s="49"/>
      <c r="E9" s="49"/>
      <c r="F9" s="49"/>
      <c r="G9" s="49"/>
      <c r="H9" s="49"/>
      <c r="I9" s="49"/>
      <c r="J9" s="49"/>
      <c r="K9" s="44"/>
      <c r="L9" s="44"/>
      <c r="M9" s="44"/>
      <c r="N9" s="42"/>
      <c r="O9" s="1"/>
    </row>
    <row r="10" spans="1:17" ht="45" customHeight="1" thickBot="1">
      <c r="A10" s="35"/>
      <c r="B10" s="39"/>
      <c r="C10" s="46" t="s">
        <v>173</v>
      </c>
      <c r="D10" s="129" t="str">
        <f>VLOOKUP(M5,Table1[#All],6,FALSE)</f>
        <v>Richtig</v>
      </c>
      <c r="E10" s="129"/>
      <c r="F10" s="129"/>
      <c r="G10" s="129"/>
      <c r="H10" s="129"/>
      <c r="I10" s="129"/>
      <c r="J10" s="129"/>
      <c r="K10" s="50"/>
      <c r="L10" s="125" t="str">
        <f>IF(VLOOKUP($M$5,Table1[#All],5,FALSE)=$Q$1,VLOOKUP($M$5,Table1[#All],6,FALSE),"  ")</f>
        <v xml:space="preserve">  </v>
      </c>
      <c r="M10" s="125"/>
      <c r="N10" s="42"/>
      <c r="O10" s="1"/>
    </row>
    <row r="11" spans="1:17" ht="45" customHeight="1" thickBot="1">
      <c r="A11" s="35"/>
      <c r="B11" s="39"/>
      <c r="C11" s="46" t="s">
        <v>174</v>
      </c>
      <c r="D11" s="128" t="str">
        <f>VLOOKUP(M5,Table1[#All],8,FALSE)</f>
        <v>Falsch</v>
      </c>
      <c r="E11" s="128"/>
      <c r="F11" s="128"/>
      <c r="G11" s="128"/>
      <c r="H11" s="128"/>
      <c r="I11" s="128"/>
      <c r="J11" s="128"/>
      <c r="K11" s="50"/>
      <c r="L11" s="126" t="str">
        <f>IF(VLOOKUP($M$5,Table1[#All],7,FALSE)=$Q$1,VLOOKUP($M$5,Table1[#All],8,FALSE),"  ")</f>
        <v>Falsch</v>
      </c>
      <c r="M11" s="126"/>
      <c r="N11" s="42"/>
      <c r="O11" s="1"/>
    </row>
    <row r="12" spans="1:17" ht="45" customHeight="1" thickBot="1">
      <c r="A12" s="35"/>
      <c r="B12" s="39"/>
      <c r="C12" s="46" t="s">
        <v>175</v>
      </c>
      <c r="D12" s="128" t="str">
        <f>VLOOKUP(M5,Table1[#All],10,FALSE)</f>
        <v xml:space="preserve"> </v>
      </c>
      <c r="E12" s="128"/>
      <c r="F12" s="128"/>
      <c r="G12" s="128"/>
      <c r="H12" s="128"/>
      <c r="I12" s="128"/>
      <c r="J12" s="128"/>
      <c r="K12" s="50"/>
      <c r="L12" s="126" t="str">
        <f>IF(VLOOKUP($M$5,Table1[#All],9,FALSE)=$Q$1,VLOOKUP($M$5,Table1[#All],10,FALSE),"  ")</f>
        <v xml:space="preserve">  </v>
      </c>
      <c r="M12" s="126"/>
      <c r="N12" s="42"/>
      <c r="O12" s="1"/>
    </row>
    <row r="13" spans="1:17" ht="45" customHeight="1" thickBot="1">
      <c r="A13" s="35"/>
      <c r="B13" s="39"/>
      <c r="C13" s="46" t="s">
        <v>176</v>
      </c>
      <c r="D13" s="129" t="str">
        <f>VLOOKUP(M5,Table1[#All],12,FALSE)</f>
        <v xml:space="preserve"> </v>
      </c>
      <c r="E13" s="129"/>
      <c r="F13" s="129"/>
      <c r="G13" s="129"/>
      <c r="H13" s="129"/>
      <c r="I13" s="129"/>
      <c r="J13" s="129"/>
      <c r="K13" s="50"/>
      <c r="L13" s="126" t="str">
        <f>IF(VLOOKUP($M$5,Table1[#All],11,FALSE)=$Q$1,VLOOKUP($M$5,Table1[#All],12,FALSE),"  ")</f>
        <v xml:space="preserve">  </v>
      </c>
      <c r="M13" s="126"/>
      <c r="N13" s="42"/>
      <c r="O13" s="1"/>
    </row>
    <row r="14" spans="1:17" ht="27" customHeight="1">
      <c r="A14" s="35"/>
      <c r="B14" s="39"/>
      <c r="C14" s="43"/>
      <c r="D14" s="44"/>
      <c r="E14" s="45"/>
      <c r="F14" s="45"/>
      <c r="G14" s="45"/>
      <c r="H14" s="45"/>
      <c r="I14" s="45"/>
      <c r="J14" s="44"/>
      <c r="K14" s="124" t="str">
        <f>IF(VLOOKUP(M5,Table1[#All],13,FALSE)="","",VLOOKUP(M5,Table1[#All],13,FALSE))</f>
        <v>Er ist billiger, da: Kassakurs GBP/USD: 1,5000; GBP-Zinssatz 1 Jahr:  3,00 %; USD-Zinssatz 1 Jahr: 1,00 %; Laufzeit/Tage:   360 --&gt; Devisenterminkurs = Kassakurs + (((Zinssatz Währung 2 – Zinssatz Währung 1) x Kassakurs x Laufzeit in Tagen) / (360 x 100)) = 1,5000 + (((1–3) x 1,5000 x 360) / (360 x 100)) = 1,47</v>
      </c>
      <c r="L14" s="124"/>
      <c r="M14" s="124"/>
      <c r="N14" s="42"/>
      <c r="O14" s="1"/>
    </row>
    <row r="15" spans="1:17" ht="40" customHeight="1">
      <c r="A15" s="35"/>
      <c r="B15" s="39"/>
      <c r="C15" s="46" t="s">
        <v>231</v>
      </c>
      <c r="D15" s="127" t="str">
        <f>VLOOKUP(M5,Table1[#All],4,FALSE)</f>
        <v>TF</v>
      </c>
      <c r="E15" s="127"/>
      <c r="F15" s="127"/>
      <c r="G15" s="127"/>
      <c r="H15" s="127"/>
      <c r="I15" s="127"/>
      <c r="J15" s="127"/>
      <c r="K15" s="124"/>
      <c r="L15" s="124"/>
      <c r="M15" s="124"/>
      <c r="N15" s="42"/>
      <c r="O15" s="1"/>
    </row>
    <row r="16" spans="1:17" ht="27" customHeight="1" thickBot="1">
      <c r="A16" s="35"/>
      <c r="B16" s="51"/>
      <c r="C16" s="52"/>
      <c r="D16" s="52"/>
      <c r="E16" s="52"/>
      <c r="F16" s="53"/>
      <c r="G16" s="53"/>
      <c r="H16" s="53"/>
      <c r="I16" s="53"/>
      <c r="J16" s="53"/>
      <c r="K16" s="53"/>
      <c r="L16" s="53"/>
      <c r="M16" s="53"/>
      <c r="N16" s="54"/>
      <c r="O16" s="1"/>
    </row>
    <row r="17" spans="1:15" ht="27" customHeight="1">
      <c r="A17" s="1"/>
      <c r="B17" s="32"/>
      <c r="C17" s="32"/>
      <c r="D17" s="32"/>
      <c r="E17" s="32"/>
      <c r="F17" s="32"/>
      <c r="G17" s="32"/>
      <c r="H17" s="32"/>
      <c r="I17" s="32"/>
      <c r="J17" s="32"/>
      <c r="K17" s="32"/>
      <c r="L17" s="32"/>
      <c r="M17" s="32"/>
      <c r="N17" s="32"/>
      <c r="O17" s="1"/>
    </row>
  </sheetData>
  <sheetProtection sheet="1" objects="1" scenarios="1"/>
  <mergeCells count="13">
    <mergeCell ref="D15:J15"/>
    <mergeCell ref="D12:J12"/>
    <mergeCell ref="D13:J13"/>
    <mergeCell ref="D5:J5"/>
    <mergeCell ref="D7:J8"/>
    <mergeCell ref="D10:J10"/>
    <mergeCell ref="D11:J11"/>
    <mergeCell ref="K3:M3"/>
    <mergeCell ref="K14:M15"/>
    <mergeCell ref="L10:M10"/>
    <mergeCell ref="L11:M11"/>
    <mergeCell ref="L12:M12"/>
    <mergeCell ref="L13:M13"/>
  </mergeCells>
  <conditionalFormatting sqref="L10:M10">
    <cfRule type="cellIs" dxfId="21" priority="4" operator="equal">
      <formula>$D$10</formula>
    </cfRule>
  </conditionalFormatting>
  <conditionalFormatting sqref="L11:M11">
    <cfRule type="cellIs" dxfId="20" priority="3" operator="equal">
      <formula>$D$11</formula>
    </cfRule>
  </conditionalFormatting>
  <conditionalFormatting sqref="L12:M12">
    <cfRule type="cellIs" dxfId="19" priority="2" operator="equal">
      <formula>$D$12</formula>
    </cfRule>
  </conditionalFormatting>
  <conditionalFormatting sqref="L13:M13">
    <cfRule type="cellIs" dxfId="18" priority="1" operator="equal">
      <formula>$D$13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zufaelligeFrage">
                <anchor moveWithCells="1" sizeWithCells="1">
                  <from>
                    <xdr:col>11</xdr:col>
                    <xdr:colOff>1016000</xdr:colOff>
                    <xdr:row>4</xdr:row>
                    <xdr:rowOff>0</xdr:rowOff>
                  </from>
                  <to>
                    <xdr:col>12</xdr:col>
                    <xdr:colOff>381000</xdr:colOff>
                    <xdr:row>5</xdr:row>
                    <xdr:rowOff>12700</xdr:rowOff>
                  </to>
                </anchor>
              </controlPr>
            </control>
          </mc:Choice>
        </mc:AlternateContent>
        <mc:AlternateContent xmlns:mc="http://schemas.openxmlformats.org/markup-compatibility/2006">
          <mc:Choice Requires="x14">
            <control shapeId="3074" r:id="rId4" name="Button 2">
              <controlPr defaultSize="0" print="0" autoFill="0" autoPict="0" macro="[0]!aufloesen">
                <anchor moveWithCells="1" sizeWithCells="1">
                  <from>
                    <xdr:col>11</xdr:col>
                    <xdr:colOff>139700</xdr:colOff>
                    <xdr:row>6</xdr:row>
                    <xdr:rowOff>203200</xdr:rowOff>
                  </from>
                  <to>
                    <xdr:col>12</xdr:col>
                    <xdr:colOff>1231900</xdr:colOff>
                    <xdr:row>6</xdr:row>
                    <xdr:rowOff>558800</xdr:rowOff>
                  </to>
                </anchor>
              </controlPr>
            </control>
          </mc:Choice>
        </mc:AlternateContent>
        <mc:AlternateContent xmlns:mc="http://schemas.openxmlformats.org/markup-compatibility/2006">
          <mc:Choice Requires="x14">
            <control shapeId="3075" r:id="rId5" name="Button 3">
              <controlPr defaultSize="0" print="0" autoFill="0" autoPict="0" macro="[0]!naechsteFrage">
                <anchor moveWithCells="1" sizeWithCells="1">
                  <from>
                    <xdr:col>12</xdr:col>
                    <xdr:colOff>596900</xdr:colOff>
                    <xdr:row>4</xdr:row>
                    <xdr:rowOff>0</xdr:rowOff>
                  </from>
                  <to>
                    <xdr:col>12</xdr:col>
                    <xdr:colOff>1244600</xdr:colOff>
                    <xdr:row>5</xdr:row>
                    <xdr:rowOff>12700</xdr:rowOff>
                  </to>
                </anchor>
              </controlPr>
            </control>
          </mc:Choice>
        </mc:AlternateContent>
        <mc:AlternateContent xmlns:mc="http://schemas.openxmlformats.org/markup-compatibility/2006">
          <mc:Choice Requires="x14">
            <control shapeId="3077" r:id="rId6" name="Button 5">
              <controlPr defaultSize="0" print="0" autoFill="0" autoPict="0" macro="[0]!vorherigeFrage">
                <anchor moveWithCells="1" sizeWithCells="1">
                  <from>
                    <xdr:col>11</xdr:col>
                    <xdr:colOff>139700</xdr:colOff>
                    <xdr:row>4</xdr:row>
                    <xdr:rowOff>0</xdr:rowOff>
                  </from>
                  <to>
                    <xdr:col>11</xdr:col>
                    <xdr:colOff>787400</xdr:colOff>
                    <xdr:row>5</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E853C-7501-5547-B0DA-9D2829B5CBA0}">
  <sheetPr codeName="Sheet3"/>
  <dimension ref="A1:S619"/>
  <sheetViews>
    <sheetView zoomScale="99" zoomScaleNormal="100" workbookViewId="0">
      <selection activeCell="E1" sqref="E1"/>
    </sheetView>
  </sheetViews>
  <sheetFormatPr baseColWidth="10" defaultColWidth="0" defaultRowHeight="16" zeroHeight="1"/>
  <cols>
    <col min="1" max="2" width="4.1640625" customWidth="1"/>
    <col min="3" max="3" width="7.1640625" customWidth="1"/>
    <col min="4" max="4" width="15.5" customWidth="1"/>
    <col min="5" max="5" width="51.5" style="69" customWidth="1"/>
    <col min="6" max="6" width="8.33203125" customWidth="1"/>
    <col min="7" max="7" width="4.1640625" customWidth="1"/>
    <col min="8" max="8" width="17.5" style="69" customWidth="1"/>
    <col min="9" max="9" width="4.1640625" customWidth="1"/>
    <col min="10" max="10" width="17.5" style="69" customWidth="1"/>
    <col min="11" max="11" width="4.1640625" customWidth="1"/>
    <col min="12" max="12" width="17.5" style="69" customWidth="1"/>
    <col min="13" max="13" width="4.1640625" customWidth="1"/>
    <col min="14" max="14" width="17.5" style="69" customWidth="1"/>
    <col min="15" max="15" width="16" customWidth="1"/>
    <col min="16" max="16" width="7.33203125" customWidth="1"/>
    <col min="17" max="18" width="4.1640625" customWidth="1"/>
    <col min="19" max="19" width="0" hidden="1" customWidth="1"/>
    <col min="20" max="16384" width="10.83203125" hidden="1"/>
  </cols>
  <sheetData>
    <row r="1" spans="1:18" ht="17" thickBot="1">
      <c r="A1" s="1"/>
      <c r="B1" s="1"/>
      <c r="C1" s="1"/>
      <c r="D1" s="1"/>
      <c r="E1" s="64"/>
      <c r="F1" s="1"/>
      <c r="G1" s="1"/>
      <c r="H1" s="64"/>
      <c r="I1" s="1"/>
      <c r="J1" s="64"/>
      <c r="K1" s="1"/>
      <c r="L1" s="64"/>
      <c r="M1" s="1"/>
      <c r="N1" s="64"/>
      <c r="O1" s="1"/>
      <c r="P1" s="1"/>
      <c r="Q1" s="1"/>
      <c r="R1" s="1"/>
    </row>
    <row r="2" spans="1:18">
      <c r="A2" s="1"/>
      <c r="B2" s="2"/>
      <c r="C2" s="3"/>
      <c r="D2" s="3"/>
      <c r="E2" s="65"/>
      <c r="F2" s="3"/>
      <c r="G2" s="3"/>
      <c r="H2" s="79"/>
      <c r="I2" s="4"/>
      <c r="J2" s="65"/>
      <c r="K2" s="3"/>
      <c r="L2" s="65"/>
      <c r="M2" s="3"/>
      <c r="N2" s="65"/>
      <c r="O2" s="3"/>
      <c r="P2" s="3"/>
      <c r="Q2" s="5"/>
      <c r="R2" s="1"/>
    </row>
    <row r="3" spans="1:18">
      <c r="A3" s="1"/>
      <c r="B3" s="6"/>
      <c r="C3" s="8" t="s">
        <v>0</v>
      </c>
      <c r="D3" s="8" t="s">
        <v>170</v>
      </c>
      <c r="E3" s="66" t="s">
        <v>171</v>
      </c>
      <c r="F3" s="8" t="s">
        <v>1</v>
      </c>
      <c r="G3" s="8" t="s">
        <v>50</v>
      </c>
      <c r="H3" s="66" t="s">
        <v>3</v>
      </c>
      <c r="I3" s="8" t="s">
        <v>51</v>
      </c>
      <c r="J3" s="66" t="s">
        <v>6</v>
      </c>
      <c r="K3" s="8" t="s">
        <v>52</v>
      </c>
      <c r="L3" s="66" t="s">
        <v>5</v>
      </c>
      <c r="M3" s="8" t="s">
        <v>53</v>
      </c>
      <c r="N3" s="66" t="s">
        <v>4</v>
      </c>
      <c r="O3" s="8" t="s">
        <v>2268</v>
      </c>
      <c r="P3" s="8" t="s">
        <v>2438</v>
      </c>
      <c r="Q3" s="7"/>
      <c r="R3" s="1"/>
    </row>
    <row r="4" spans="1:18" ht="51">
      <c r="A4" s="1"/>
      <c r="B4" s="6"/>
      <c r="C4" s="11">
        <f>SUBTOTAL(103,$D$4:D4)</f>
        <v>1</v>
      </c>
      <c r="D4" s="9" t="s">
        <v>1410</v>
      </c>
      <c r="E4" s="12" t="s">
        <v>2337</v>
      </c>
      <c r="F4" s="10" t="s">
        <v>8</v>
      </c>
      <c r="G4" s="10" t="s">
        <v>54</v>
      </c>
      <c r="H4" s="80" t="s">
        <v>10</v>
      </c>
      <c r="I4" s="12" t="s">
        <v>55</v>
      </c>
      <c r="J4" s="80" t="s">
        <v>9</v>
      </c>
      <c r="K4" s="10" t="s">
        <v>54</v>
      </c>
      <c r="L4" s="81" t="s">
        <v>177</v>
      </c>
      <c r="M4" s="10" t="s">
        <v>54</v>
      </c>
      <c r="N4" s="81" t="s">
        <v>177</v>
      </c>
      <c r="O4" s="9" t="s">
        <v>1847</v>
      </c>
      <c r="P4" s="11">
        <v>1</v>
      </c>
      <c r="Q4" s="7"/>
      <c r="R4" s="1"/>
    </row>
    <row r="5" spans="1:18" ht="34">
      <c r="A5" s="1"/>
      <c r="B5" s="6"/>
      <c r="C5" s="11">
        <f>SUBTOTAL(103,$D$4:D5)</f>
        <v>2</v>
      </c>
      <c r="D5" s="9" t="s">
        <v>1410</v>
      </c>
      <c r="E5" s="12" t="s">
        <v>1904</v>
      </c>
      <c r="F5" s="10" t="s">
        <v>8</v>
      </c>
      <c r="G5" s="10" t="s">
        <v>54</v>
      </c>
      <c r="H5" s="80" t="s">
        <v>10</v>
      </c>
      <c r="I5" s="12" t="s">
        <v>55</v>
      </c>
      <c r="J5" s="80" t="s">
        <v>9</v>
      </c>
      <c r="K5" s="10" t="s">
        <v>54</v>
      </c>
      <c r="L5" s="81" t="s">
        <v>177</v>
      </c>
      <c r="M5" s="10" t="s">
        <v>54</v>
      </c>
      <c r="N5" s="81" t="s">
        <v>177</v>
      </c>
      <c r="O5" s="9"/>
      <c r="P5" s="11"/>
      <c r="Q5" s="7"/>
      <c r="R5" s="1"/>
    </row>
    <row r="6" spans="1:18" ht="51">
      <c r="A6" s="1"/>
      <c r="B6" s="6"/>
      <c r="C6" s="11">
        <f>SUBTOTAL(103,$D$4:D6)</f>
        <v>3</v>
      </c>
      <c r="D6" s="9" t="s">
        <v>1410</v>
      </c>
      <c r="E6" s="12" t="s">
        <v>11</v>
      </c>
      <c r="F6" s="10" t="s">
        <v>12</v>
      </c>
      <c r="G6" s="10" t="s">
        <v>54</v>
      </c>
      <c r="H6" s="80" t="s">
        <v>15</v>
      </c>
      <c r="I6" s="10" t="s">
        <v>54</v>
      </c>
      <c r="J6" s="12" t="s">
        <v>172</v>
      </c>
      <c r="K6" s="12" t="s">
        <v>55</v>
      </c>
      <c r="L6" s="12" t="s">
        <v>14</v>
      </c>
      <c r="M6" s="12" t="s">
        <v>55</v>
      </c>
      <c r="N6" s="80" t="s">
        <v>13</v>
      </c>
      <c r="O6" s="9"/>
      <c r="P6" s="11">
        <v>2</v>
      </c>
      <c r="Q6" s="7"/>
      <c r="R6" s="1"/>
    </row>
    <row r="7" spans="1:18" ht="34">
      <c r="A7" s="1"/>
      <c r="B7" s="6"/>
      <c r="C7" s="11">
        <f>SUBTOTAL(103,$D$4:D7)</f>
        <v>4</v>
      </c>
      <c r="D7" s="9" t="s">
        <v>1410</v>
      </c>
      <c r="E7" s="12" t="s">
        <v>16</v>
      </c>
      <c r="F7" s="10" t="s">
        <v>12</v>
      </c>
      <c r="G7" s="10" t="s">
        <v>54</v>
      </c>
      <c r="H7" s="80" t="s">
        <v>17</v>
      </c>
      <c r="I7" s="12" t="s">
        <v>55</v>
      </c>
      <c r="J7" s="12" t="s">
        <v>18</v>
      </c>
      <c r="K7" s="12" t="s">
        <v>55</v>
      </c>
      <c r="L7" s="12" t="s">
        <v>19</v>
      </c>
      <c r="M7" s="12" t="s">
        <v>55</v>
      </c>
      <c r="N7" s="80" t="s">
        <v>20</v>
      </c>
      <c r="O7" s="9"/>
      <c r="P7" s="11">
        <v>3</v>
      </c>
      <c r="Q7" s="7"/>
      <c r="R7" s="1"/>
    </row>
    <row r="8" spans="1:18" ht="51">
      <c r="A8" s="1"/>
      <c r="B8" s="6"/>
      <c r="C8" s="11">
        <f>SUBTOTAL(103,$D$4:D8)</f>
        <v>5</v>
      </c>
      <c r="D8" s="9" t="s">
        <v>1410</v>
      </c>
      <c r="E8" s="12" t="s">
        <v>21</v>
      </c>
      <c r="F8" s="10" t="s">
        <v>22</v>
      </c>
      <c r="G8" s="10" t="s">
        <v>54</v>
      </c>
      <c r="H8" s="80" t="s">
        <v>23</v>
      </c>
      <c r="I8" s="12" t="s">
        <v>55</v>
      </c>
      <c r="J8" s="12" t="s">
        <v>24</v>
      </c>
      <c r="K8" s="10" t="s">
        <v>54</v>
      </c>
      <c r="L8" s="12" t="s">
        <v>25</v>
      </c>
      <c r="M8" s="10" t="s">
        <v>54</v>
      </c>
      <c r="N8" s="80" t="s">
        <v>26</v>
      </c>
      <c r="O8" s="9"/>
      <c r="P8" s="11">
        <v>4</v>
      </c>
      <c r="Q8" s="7"/>
      <c r="R8" s="1"/>
    </row>
    <row r="9" spans="1:18" ht="153">
      <c r="A9" s="1"/>
      <c r="B9" s="6"/>
      <c r="C9" s="11">
        <f>SUBTOTAL(103,$D$4:D9)</f>
        <v>6</v>
      </c>
      <c r="D9" s="9" t="s">
        <v>1410</v>
      </c>
      <c r="E9" s="12" t="s">
        <v>27</v>
      </c>
      <c r="F9" s="10" t="s">
        <v>22</v>
      </c>
      <c r="G9" s="10" t="s">
        <v>54</v>
      </c>
      <c r="H9" s="80" t="s">
        <v>28</v>
      </c>
      <c r="I9" s="12" t="s">
        <v>55</v>
      </c>
      <c r="J9" s="12" t="s">
        <v>29</v>
      </c>
      <c r="K9" s="10" t="s">
        <v>54</v>
      </c>
      <c r="L9" s="12" t="s">
        <v>30</v>
      </c>
      <c r="M9" s="10" t="s">
        <v>54</v>
      </c>
      <c r="N9" s="80" t="s">
        <v>31</v>
      </c>
      <c r="O9" s="9"/>
      <c r="P9" s="11">
        <v>5</v>
      </c>
      <c r="Q9" s="7"/>
      <c r="R9" s="1"/>
    </row>
    <row r="10" spans="1:18" ht="51">
      <c r="A10" s="1"/>
      <c r="B10" s="6"/>
      <c r="C10" s="11">
        <f>SUBTOTAL(103,$D$4:D10)</f>
        <v>7</v>
      </c>
      <c r="D10" s="9" t="s">
        <v>1410</v>
      </c>
      <c r="E10" s="12" t="s">
        <v>32</v>
      </c>
      <c r="F10" s="10" t="s">
        <v>8</v>
      </c>
      <c r="G10" s="12" t="s">
        <v>55</v>
      </c>
      <c r="H10" s="80" t="s">
        <v>10</v>
      </c>
      <c r="I10" s="10" t="s">
        <v>54</v>
      </c>
      <c r="J10" s="12" t="s">
        <v>9</v>
      </c>
      <c r="K10" s="10" t="s">
        <v>54</v>
      </c>
      <c r="L10" s="81" t="s">
        <v>177</v>
      </c>
      <c r="M10" s="10" t="s">
        <v>54</v>
      </c>
      <c r="N10" s="81" t="s">
        <v>177</v>
      </c>
      <c r="O10" s="9"/>
      <c r="P10" s="11">
        <v>6</v>
      </c>
      <c r="Q10" s="7"/>
      <c r="R10" s="1"/>
    </row>
    <row r="11" spans="1:18" ht="51">
      <c r="A11" s="1"/>
      <c r="B11" s="6"/>
      <c r="C11" s="11">
        <f>SUBTOTAL(103,$D$4:D11)</f>
        <v>8</v>
      </c>
      <c r="D11" s="9" t="s">
        <v>1410</v>
      </c>
      <c r="E11" s="12" t="s">
        <v>33</v>
      </c>
      <c r="F11" s="10" t="s">
        <v>8</v>
      </c>
      <c r="G11" s="12" t="s">
        <v>55</v>
      </c>
      <c r="H11" s="80" t="s">
        <v>10</v>
      </c>
      <c r="I11" s="10" t="s">
        <v>54</v>
      </c>
      <c r="J11" s="12" t="s">
        <v>9</v>
      </c>
      <c r="K11" s="10" t="s">
        <v>54</v>
      </c>
      <c r="L11" s="81" t="s">
        <v>177</v>
      </c>
      <c r="M11" s="10" t="s">
        <v>54</v>
      </c>
      <c r="N11" s="81" t="s">
        <v>177</v>
      </c>
      <c r="O11" s="9"/>
      <c r="P11" s="11">
        <v>7</v>
      </c>
      <c r="Q11" s="7"/>
      <c r="R11" s="1"/>
    </row>
    <row r="12" spans="1:18" ht="68">
      <c r="A12" s="1"/>
      <c r="B12" s="6"/>
      <c r="C12" s="11">
        <f>SUBTOTAL(103,$D$4:D12)</f>
        <v>9</v>
      </c>
      <c r="D12" s="9" t="s">
        <v>1410</v>
      </c>
      <c r="E12" s="12" t="s">
        <v>34</v>
      </c>
      <c r="F12" s="10" t="s">
        <v>12</v>
      </c>
      <c r="G12" s="10" t="s">
        <v>54</v>
      </c>
      <c r="H12" s="80" t="s">
        <v>35</v>
      </c>
      <c r="I12" s="12" t="s">
        <v>55</v>
      </c>
      <c r="J12" s="12" t="s">
        <v>36</v>
      </c>
      <c r="K12" s="12" t="s">
        <v>55</v>
      </c>
      <c r="L12" s="12" t="s">
        <v>37</v>
      </c>
      <c r="M12" s="10" t="s">
        <v>54</v>
      </c>
      <c r="N12" s="80" t="s">
        <v>38</v>
      </c>
      <c r="O12" s="9"/>
      <c r="P12" s="11">
        <v>8</v>
      </c>
      <c r="Q12" s="7"/>
      <c r="R12" s="1"/>
    </row>
    <row r="13" spans="1:18" ht="68">
      <c r="A13" s="1"/>
      <c r="B13" s="6"/>
      <c r="C13" s="11">
        <f>SUBTOTAL(103,$D$4:D13)</f>
        <v>10</v>
      </c>
      <c r="D13" s="9" t="s">
        <v>1410</v>
      </c>
      <c r="E13" s="12" t="s">
        <v>1846</v>
      </c>
      <c r="F13" s="10" t="s">
        <v>22</v>
      </c>
      <c r="G13" s="12" t="s">
        <v>55</v>
      </c>
      <c r="H13" s="80" t="s">
        <v>39</v>
      </c>
      <c r="I13" s="10" t="s">
        <v>54</v>
      </c>
      <c r="J13" s="12" t="s">
        <v>40</v>
      </c>
      <c r="K13" s="10" t="s">
        <v>54</v>
      </c>
      <c r="L13" s="12" t="s">
        <v>41</v>
      </c>
      <c r="M13" s="10" t="s">
        <v>54</v>
      </c>
      <c r="N13" s="80" t="s">
        <v>42</v>
      </c>
      <c r="O13" s="9"/>
      <c r="P13" s="11">
        <v>9</v>
      </c>
      <c r="Q13" s="7"/>
      <c r="R13" s="1"/>
    </row>
    <row r="14" spans="1:18" ht="34">
      <c r="A14" s="1"/>
      <c r="B14" s="6"/>
      <c r="C14" s="11">
        <f>SUBTOTAL(103,$D$4:D14)</f>
        <v>11</v>
      </c>
      <c r="D14" s="9" t="s">
        <v>1410</v>
      </c>
      <c r="E14" s="12" t="s">
        <v>43</v>
      </c>
      <c r="F14" s="10" t="s">
        <v>22</v>
      </c>
      <c r="G14" s="10" t="s">
        <v>54</v>
      </c>
      <c r="H14" s="80" t="s">
        <v>44</v>
      </c>
      <c r="I14" s="10" t="s">
        <v>54</v>
      </c>
      <c r="J14" s="12" t="s">
        <v>45</v>
      </c>
      <c r="K14" s="10" t="s">
        <v>54</v>
      </c>
      <c r="L14" s="12" t="s">
        <v>46</v>
      </c>
      <c r="M14" s="12" t="s">
        <v>55</v>
      </c>
      <c r="N14" s="80" t="s">
        <v>47</v>
      </c>
      <c r="O14" s="9" t="s">
        <v>2334</v>
      </c>
      <c r="P14" s="11">
        <v>10</v>
      </c>
      <c r="Q14" s="7"/>
      <c r="R14" s="1"/>
    </row>
    <row r="15" spans="1:18" ht="51">
      <c r="A15" s="1"/>
      <c r="B15" s="6"/>
      <c r="C15" s="11">
        <f>SUBTOTAL(103,$D$4:D15)</f>
        <v>12</v>
      </c>
      <c r="D15" s="9" t="s">
        <v>1410</v>
      </c>
      <c r="E15" s="12" t="s">
        <v>48</v>
      </c>
      <c r="F15" s="10" t="s">
        <v>8</v>
      </c>
      <c r="G15" s="12" t="s">
        <v>55</v>
      </c>
      <c r="H15" s="80" t="s">
        <v>10</v>
      </c>
      <c r="I15" s="10" t="s">
        <v>54</v>
      </c>
      <c r="J15" s="12" t="s">
        <v>9</v>
      </c>
      <c r="K15" s="10" t="s">
        <v>54</v>
      </c>
      <c r="L15" s="81" t="s">
        <v>177</v>
      </c>
      <c r="M15" s="10" t="s">
        <v>54</v>
      </c>
      <c r="N15" s="81" t="s">
        <v>177</v>
      </c>
      <c r="O15" s="9"/>
      <c r="P15" s="11">
        <v>11</v>
      </c>
      <c r="Q15" s="7"/>
      <c r="R15" s="1"/>
    </row>
    <row r="16" spans="1:18" ht="34">
      <c r="A16" s="1"/>
      <c r="B16" s="6"/>
      <c r="C16" s="11">
        <f>SUBTOTAL(103,$D$4:D16)</f>
        <v>13</v>
      </c>
      <c r="D16" s="9" t="s">
        <v>1410</v>
      </c>
      <c r="E16" s="12" t="s">
        <v>49</v>
      </c>
      <c r="F16" s="10" t="s">
        <v>8</v>
      </c>
      <c r="G16" s="10" t="s">
        <v>54</v>
      </c>
      <c r="H16" s="80" t="s">
        <v>10</v>
      </c>
      <c r="I16" s="12" t="s">
        <v>55</v>
      </c>
      <c r="J16" s="12" t="s">
        <v>9</v>
      </c>
      <c r="K16" s="10" t="s">
        <v>54</v>
      </c>
      <c r="L16" s="81" t="s">
        <v>177</v>
      </c>
      <c r="M16" s="10" t="s">
        <v>54</v>
      </c>
      <c r="N16" s="81" t="s">
        <v>177</v>
      </c>
      <c r="O16" s="9"/>
      <c r="P16" s="11">
        <v>12</v>
      </c>
      <c r="Q16" s="7"/>
      <c r="R16" s="1"/>
    </row>
    <row r="17" spans="1:18" ht="34">
      <c r="A17" s="1"/>
      <c r="B17" s="6"/>
      <c r="C17" s="11">
        <f>SUBTOTAL(103,$D$4:D17)</f>
        <v>14</v>
      </c>
      <c r="D17" s="9" t="s">
        <v>1410</v>
      </c>
      <c r="E17" s="12" t="s">
        <v>57</v>
      </c>
      <c r="F17" s="10" t="s">
        <v>8</v>
      </c>
      <c r="G17" s="12" t="s">
        <v>55</v>
      </c>
      <c r="H17" s="80" t="s">
        <v>10</v>
      </c>
      <c r="I17" s="10" t="s">
        <v>54</v>
      </c>
      <c r="J17" s="12" t="s">
        <v>9</v>
      </c>
      <c r="K17" s="10" t="s">
        <v>54</v>
      </c>
      <c r="L17" s="81" t="s">
        <v>177</v>
      </c>
      <c r="M17" s="10" t="s">
        <v>54</v>
      </c>
      <c r="N17" s="81" t="s">
        <v>177</v>
      </c>
      <c r="O17" s="9"/>
      <c r="P17" s="11">
        <v>13</v>
      </c>
      <c r="Q17" s="7"/>
      <c r="R17" s="1"/>
    </row>
    <row r="18" spans="1:18" ht="85">
      <c r="A18" s="1"/>
      <c r="B18" s="6"/>
      <c r="C18" s="11">
        <f>SUBTOTAL(103,$D$4:D18)</f>
        <v>15</v>
      </c>
      <c r="D18" s="9" t="s">
        <v>1410</v>
      </c>
      <c r="E18" s="12" t="s">
        <v>56</v>
      </c>
      <c r="F18" s="10" t="s">
        <v>8</v>
      </c>
      <c r="G18" s="10" t="s">
        <v>54</v>
      </c>
      <c r="H18" s="80" t="s">
        <v>10</v>
      </c>
      <c r="I18" s="12" t="s">
        <v>55</v>
      </c>
      <c r="J18" s="12" t="s">
        <v>9</v>
      </c>
      <c r="K18" s="10" t="s">
        <v>54</v>
      </c>
      <c r="L18" s="81" t="s">
        <v>177</v>
      </c>
      <c r="M18" s="10" t="s">
        <v>54</v>
      </c>
      <c r="N18" s="81" t="s">
        <v>177</v>
      </c>
      <c r="O18" s="9"/>
      <c r="P18" s="11">
        <v>14</v>
      </c>
      <c r="Q18" s="7"/>
      <c r="R18" s="1"/>
    </row>
    <row r="19" spans="1:18" ht="34">
      <c r="A19" s="1"/>
      <c r="B19" s="6"/>
      <c r="C19" s="11">
        <f>SUBTOTAL(103,$D$4:D19)</f>
        <v>16</v>
      </c>
      <c r="D19" s="9" t="s">
        <v>1410</v>
      </c>
      <c r="E19" s="12" t="s">
        <v>58</v>
      </c>
      <c r="F19" s="10" t="s">
        <v>12</v>
      </c>
      <c r="G19" s="10" t="s">
        <v>54</v>
      </c>
      <c r="H19" s="80" t="s">
        <v>61</v>
      </c>
      <c r="I19" s="12" t="s">
        <v>55</v>
      </c>
      <c r="J19" s="12" t="s">
        <v>62</v>
      </c>
      <c r="K19" s="10" t="s">
        <v>54</v>
      </c>
      <c r="L19" s="12" t="s">
        <v>63</v>
      </c>
      <c r="M19" s="12" t="s">
        <v>55</v>
      </c>
      <c r="N19" s="80" t="s">
        <v>64</v>
      </c>
      <c r="O19" s="9" t="s">
        <v>1848</v>
      </c>
      <c r="P19" s="11">
        <v>15</v>
      </c>
      <c r="Q19" s="7"/>
      <c r="R19" s="1"/>
    </row>
    <row r="20" spans="1:18" ht="136">
      <c r="A20" s="1"/>
      <c r="B20" s="6"/>
      <c r="C20" s="11">
        <f>SUBTOTAL(103,$D$4:D20)</f>
        <v>17</v>
      </c>
      <c r="D20" s="9" t="s">
        <v>1410</v>
      </c>
      <c r="E20" s="12" t="s">
        <v>59</v>
      </c>
      <c r="F20" s="10" t="s">
        <v>22</v>
      </c>
      <c r="G20" s="10" t="s">
        <v>54</v>
      </c>
      <c r="H20" s="80" t="s">
        <v>65</v>
      </c>
      <c r="I20" s="10" t="s">
        <v>54</v>
      </c>
      <c r="J20" s="12" t="s">
        <v>68</v>
      </c>
      <c r="K20" s="10" t="s">
        <v>54</v>
      </c>
      <c r="L20" s="12" t="s">
        <v>66</v>
      </c>
      <c r="M20" s="12" t="s">
        <v>55</v>
      </c>
      <c r="N20" s="80" t="s">
        <v>67</v>
      </c>
      <c r="O20" s="9"/>
      <c r="P20" s="11">
        <v>16</v>
      </c>
      <c r="Q20" s="7"/>
      <c r="R20" s="1"/>
    </row>
    <row r="21" spans="1:18" ht="34">
      <c r="A21" s="1"/>
      <c r="B21" s="6"/>
      <c r="C21" s="11">
        <f>SUBTOTAL(103,$D$4:D21)</f>
        <v>18</v>
      </c>
      <c r="D21" s="9" t="s">
        <v>1410</v>
      </c>
      <c r="E21" s="12" t="s">
        <v>60</v>
      </c>
      <c r="F21" s="10" t="s">
        <v>22</v>
      </c>
      <c r="G21" s="10" t="s">
        <v>54</v>
      </c>
      <c r="H21" s="80" t="s">
        <v>69</v>
      </c>
      <c r="I21" s="10" t="s">
        <v>54</v>
      </c>
      <c r="J21" s="12" t="s">
        <v>70</v>
      </c>
      <c r="K21" s="12" t="s">
        <v>55</v>
      </c>
      <c r="L21" s="12" t="s">
        <v>71</v>
      </c>
      <c r="M21" s="10" t="s">
        <v>54</v>
      </c>
      <c r="N21" s="80" t="s">
        <v>72</v>
      </c>
      <c r="O21" s="9"/>
      <c r="P21" s="11">
        <v>17</v>
      </c>
      <c r="Q21" s="7"/>
      <c r="R21" s="1"/>
    </row>
    <row r="22" spans="1:18" ht="34">
      <c r="A22" s="1"/>
      <c r="B22" s="6"/>
      <c r="C22" s="11">
        <f>SUBTOTAL(103,$D$4:D22)</f>
        <v>19</v>
      </c>
      <c r="D22" s="9" t="s">
        <v>1410</v>
      </c>
      <c r="E22" s="12" t="s">
        <v>73</v>
      </c>
      <c r="F22" s="10" t="s">
        <v>22</v>
      </c>
      <c r="G22" s="10" t="s">
        <v>54</v>
      </c>
      <c r="H22" s="80" t="s">
        <v>74</v>
      </c>
      <c r="I22" s="10" t="s">
        <v>54</v>
      </c>
      <c r="J22" s="12" t="s">
        <v>75</v>
      </c>
      <c r="K22" s="12" t="s">
        <v>55</v>
      </c>
      <c r="L22" s="12" t="s">
        <v>76</v>
      </c>
      <c r="M22" s="10" t="s">
        <v>54</v>
      </c>
      <c r="N22" s="80" t="s">
        <v>77</v>
      </c>
      <c r="O22" s="9"/>
      <c r="P22" s="11">
        <v>18</v>
      </c>
      <c r="Q22" s="7"/>
      <c r="R22" s="1"/>
    </row>
    <row r="23" spans="1:18" ht="68">
      <c r="A23" s="1"/>
      <c r="B23" s="6"/>
      <c r="C23" s="11">
        <f>SUBTOTAL(103,$D$4:D23)</f>
        <v>20</v>
      </c>
      <c r="D23" s="9" t="s">
        <v>1410</v>
      </c>
      <c r="E23" s="12" t="s">
        <v>78</v>
      </c>
      <c r="F23" s="10" t="s">
        <v>22</v>
      </c>
      <c r="G23" s="10" t="s">
        <v>54</v>
      </c>
      <c r="H23" s="12" t="s">
        <v>79</v>
      </c>
      <c r="I23" s="10" t="s">
        <v>54</v>
      </c>
      <c r="J23" s="12" t="s">
        <v>80</v>
      </c>
      <c r="K23" s="10" t="s">
        <v>54</v>
      </c>
      <c r="L23" s="12" t="s">
        <v>81</v>
      </c>
      <c r="M23" s="12" t="s">
        <v>55</v>
      </c>
      <c r="N23" s="80" t="s">
        <v>82</v>
      </c>
      <c r="O23" s="9"/>
      <c r="P23" s="11">
        <v>19</v>
      </c>
      <c r="Q23" s="7"/>
      <c r="R23" s="1"/>
    </row>
    <row r="24" spans="1:18" ht="85">
      <c r="A24" s="1"/>
      <c r="B24" s="6"/>
      <c r="C24" s="11">
        <f>SUBTOTAL(103,$D$4:D24)</f>
        <v>21</v>
      </c>
      <c r="D24" s="9" t="s">
        <v>1410</v>
      </c>
      <c r="E24" s="12" t="s">
        <v>83</v>
      </c>
      <c r="F24" s="10" t="s">
        <v>22</v>
      </c>
      <c r="G24" s="10" t="s">
        <v>54</v>
      </c>
      <c r="H24" s="80" t="s">
        <v>84</v>
      </c>
      <c r="I24" s="10" t="s">
        <v>54</v>
      </c>
      <c r="J24" s="12" t="s">
        <v>85</v>
      </c>
      <c r="K24" s="10" t="s">
        <v>54</v>
      </c>
      <c r="L24" s="12" t="s">
        <v>86</v>
      </c>
      <c r="M24" s="12" t="s">
        <v>55</v>
      </c>
      <c r="N24" s="80" t="s">
        <v>87</v>
      </c>
      <c r="O24" s="9"/>
      <c r="P24" s="11">
        <v>20</v>
      </c>
      <c r="Q24" s="7"/>
      <c r="R24" s="1"/>
    </row>
    <row r="25" spans="1:18" ht="51">
      <c r="A25" s="1"/>
      <c r="B25" s="6"/>
      <c r="C25" s="11">
        <f>SUBTOTAL(103,$D$4:D25)</f>
        <v>22</v>
      </c>
      <c r="D25" s="9" t="s">
        <v>1410</v>
      </c>
      <c r="E25" s="12" t="s">
        <v>225</v>
      </c>
      <c r="F25" s="10" t="s">
        <v>12</v>
      </c>
      <c r="G25" s="12" t="s">
        <v>55</v>
      </c>
      <c r="H25" s="80" t="s">
        <v>226</v>
      </c>
      <c r="I25" s="12" t="s">
        <v>55</v>
      </c>
      <c r="J25" s="12" t="s">
        <v>227</v>
      </c>
      <c r="K25" s="12" t="s">
        <v>55</v>
      </c>
      <c r="L25" s="12" t="s">
        <v>228</v>
      </c>
      <c r="M25" s="10" t="s">
        <v>54</v>
      </c>
      <c r="N25" s="80" t="s">
        <v>229</v>
      </c>
      <c r="O25" s="9" t="s">
        <v>230</v>
      </c>
      <c r="P25" s="9"/>
      <c r="Q25" s="7"/>
      <c r="R25" s="1"/>
    </row>
    <row r="26" spans="1:18" ht="34">
      <c r="A26" s="1"/>
      <c r="B26" s="6"/>
      <c r="C26" s="11">
        <f>SUBTOTAL(103,$D$4:D26)</f>
        <v>23</v>
      </c>
      <c r="D26" s="9" t="s">
        <v>1410</v>
      </c>
      <c r="E26" s="12" t="s">
        <v>232</v>
      </c>
      <c r="F26" s="10" t="s">
        <v>12</v>
      </c>
      <c r="G26" s="12" t="s">
        <v>55</v>
      </c>
      <c r="H26" s="80" t="s">
        <v>238</v>
      </c>
      <c r="I26" s="12" t="s">
        <v>55</v>
      </c>
      <c r="J26" s="12" t="s">
        <v>236</v>
      </c>
      <c r="K26" s="12" t="s">
        <v>55</v>
      </c>
      <c r="L26" s="12" t="s">
        <v>239</v>
      </c>
      <c r="M26" s="10" t="s">
        <v>54</v>
      </c>
      <c r="N26" s="80" t="s">
        <v>237</v>
      </c>
      <c r="O26" s="9"/>
      <c r="P26" s="9"/>
      <c r="Q26" s="7"/>
      <c r="R26" s="1"/>
    </row>
    <row r="27" spans="1:18" ht="34">
      <c r="A27" s="1"/>
      <c r="B27" s="6"/>
      <c r="C27" s="11">
        <f>SUBTOTAL(103,$D$4:D27)</f>
        <v>24</v>
      </c>
      <c r="D27" s="9" t="s">
        <v>1410</v>
      </c>
      <c r="E27" s="12" t="s">
        <v>233</v>
      </c>
      <c r="F27" s="10" t="s">
        <v>22</v>
      </c>
      <c r="G27" s="10" t="s">
        <v>54</v>
      </c>
      <c r="H27" s="80" t="s">
        <v>234</v>
      </c>
      <c r="I27" s="12" t="s">
        <v>55</v>
      </c>
      <c r="J27" s="12" t="s">
        <v>235</v>
      </c>
      <c r="K27" s="10" t="s">
        <v>54</v>
      </c>
      <c r="L27" s="12" t="s">
        <v>1849</v>
      </c>
      <c r="M27" s="10" t="s">
        <v>54</v>
      </c>
      <c r="N27" s="80" t="s">
        <v>1850</v>
      </c>
      <c r="O27" s="9"/>
      <c r="P27" s="9"/>
      <c r="Q27" s="7"/>
      <c r="R27" s="1"/>
    </row>
    <row r="28" spans="1:18" ht="51">
      <c r="A28" s="1"/>
      <c r="B28" s="6"/>
      <c r="C28" s="11">
        <f>SUBTOTAL(103,$D$4:D28)</f>
        <v>25</v>
      </c>
      <c r="D28" s="9" t="s">
        <v>1410</v>
      </c>
      <c r="E28" s="12" t="s">
        <v>240</v>
      </c>
      <c r="F28" s="10" t="s">
        <v>22</v>
      </c>
      <c r="G28" s="10" t="s">
        <v>54</v>
      </c>
      <c r="H28" s="80" t="s">
        <v>241</v>
      </c>
      <c r="I28" s="10" t="s">
        <v>54</v>
      </c>
      <c r="J28" s="12" t="s">
        <v>242</v>
      </c>
      <c r="K28" s="12" t="s">
        <v>55</v>
      </c>
      <c r="L28" s="12" t="s">
        <v>243</v>
      </c>
      <c r="M28" s="10" t="s">
        <v>54</v>
      </c>
      <c r="N28" s="80" t="s">
        <v>244</v>
      </c>
      <c r="O28" s="9" t="s">
        <v>245</v>
      </c>
      <c r="P28" s="9"/>
      <c r="Q28" s="7"/>
      <c r="R28" s="1"/>
    </row>
    <row r="29" spans="1:18" ht="85">
      <c r="A29" s="1"/>
      <c r="B29" s="6"/>
      <c r="C29" s="11">
        <f>SUBTOTAL(103,$D$4:D29)</f>
        <v>26</v>
      </c>
      <c r="D29" s="9" t="s">
        <v>1410</v>
      </c>
      <c r="E29" s="12" t="s">
        <v>246</v>
      </c>
      <c r="F29" s="10" t="s">
        <v>12</v>
      </c>
      <c r="G29" s="12" t="s">
        <v>55</v>
      </c>
      <c r="H29" s="80" t="s">
        <v>247</v>
      </c>
      <c r="I29" s="10" t="s">
        <v>54</v>
      </c>
      <c r="J29" s="12" t="s">
        <v>248</v>
      </c>
      <c r="K29" s="12" t="s">
        <v>55</v>
      </c>
      <c r="L29" s="12" t="s">
        <v>827</v>
      </c>
      <c r="M29" s="12" t="s">
        <v>55</v>
      </c>
      <c r="N29" s="80" t="s">
        <v>828</v>
      </c>
      <c r="O29" s="9"/>
      <c r="P29" s="9"/>
      <c r="Q29" s="7"/>
      <c r="R29" s="1"/>
    </row>
    <row r="30" spans="1:18" ht="17">
      <c r="A30" s="1"/>
      <c r="B30" s="6"/>
      <c r="C30" s="11">
        <f>SUBTOTAL(103,$D$4:D30)</f>
        <v>27</v>
      </c>
      <c r="D30" s="9" t="s">
        <v>1410</v>
      </c>
      <c r="E30" s="12" t="s">
        <v>249</v>
      </c>
      <c r="F30" s="10" t="s">
        <v>12</v>
      </c>
      <c r="G30" s="12" t="s">
        <v>55</v>
      </c>
      <c r="H30" s="80" t="s">
        <v>250</v>
      </c>
      <c r="I30" s="12" t="s">
        <v>55</v>
      </c>
      <c r="J30" s="12" t="s">
        <v>251</v>
      </c>
      <c r="K30" s="12" t="s">
        <v>55</v>
      </c>
      <c r="L30" s="12" t="s">
        <v>252</v>
      </c>
      <c r="M30" s="10" t="s">
        <v>54</v>
      </c>
      <c r="N30" s="80" t="s">
        <v>253</v>
      </c>
      <c r="O30" s="9" t="s">
        <v>254</v>
      </c>
      <c r="P30" s="9"/>
      <c r="Q30" s="7"/>
      <c r="R30" s="1"/>
    </row>
    <row r="31" spans="1:18" ht="51">
      <c r="A31" s="1"/>
      <c r="B31" s="6"/>
      <c r="C31" s="11">
        <f>SUBTOTAL(103,$D$4:D31)</f>
        <v>28</v>
      </c>
      <c r="D31" s="9" t="s">
        <v>1410</v>
      </c>
      <c r="E31" s="12" t="s">
        <v>1917</v>
      </c>
      <c r="F31" s="10" t="s">
        <v>22</v>
      </c>
      <c r="G31" s="12" t="s">
        <v>55</v>
      </c>
      <c r="H31" s="80" t="s">
        <v>1918</v>
      </c>
      <c r="I31" s="10" t="s">
        <v>54</v>
      </c>
      <c r="J31" s="12" t="s">
        <v>1919</v>
      </c>
      <c r="K31" s="10" t="s">
        <v>54</v>
      </c>
      <c r="L31" s="81" t="s">
        <v>1920</v>
      </c>
      <c r="M31" s="10" t="s">
        <v>54</v>
      </c>
      <c r="N31" s="81" t="s">
        <v>1921</v>
      </c>
      <c r="O31" s="9" t="s">
        <v>2273</v>
      </c>
      <c r="P31" s="104" t="s">
        <v>2437</v>
      </c>
      <c r="Q31" s="7"/>
      <c r="R31" s="1"/>
    </row>
    <row r="32" spans="1:18" ht="17">
      <c r="A32" s="1"/>
      <c r="B32" s="6"/>
      <c r="C32" s="11">
        <f>SUBTOTAL(103,$D$4:D32)</f>
        <v>29</v>
      </c>
      <c r="D32" s="9" t="s">
        <v>1410</v>
      </c>
      <c r="E32" s="12" t="s">
        <v>1922</v>
      </c>
      <c r="F32" s="10" t="s">
        <v>22</v>
      </c>
      <c r="G32" s="10" t="s">
        <v>54</v>
      </c>
      <c r="H32" s="80" t="s">
        <v>1923</v>
      </c>
      <c r="I32" s="12" t="s">
        <v>55</v>
      </c>
      <c r="J32" s="12" t="s">
        <v>1924</v>
      </c>
      <c r="K32" s="10" t="s">
        <v>54</v>
      </c>
      <c r="L32" s="81" t="s">
        <v>1925</v>
      </c>
      <c r="M32" s="10" t="s">
        <v>54</v>
      </c>
      <c r="N32" s="81" t="s">
        <v>1926</v>
      </c>
      <c r="O32" s="9"/>
      <c r="P32" s="104" t="s">
        <v>2437</v>
      </c>
      <c r="Q32" s="7"/>
      <c r="R32" s="1"/>
    </row>
    <row r="33" spans="1:18" ht="51">
      <c r="A33" s="1"/>
      <c r="B33" s="6"/>
      <c r="C33" s="11">
        <f>SUBTOTAL(103,$D$4:D33)</f>
        <v>30</v>
      </c>
      <c r="D33" s="9" t="s">
        <v>1410</v>
      </c>
      <c r="E33" s="12" t="s">
        <v>1927</v>
      </c>
      <c r="F33" s="10" t="s">
        <v>22</v>
      </c>
      <c r="G33" s="10" t="s">
        <v>54</v>
      </c>
      <c r="H33" s="80" t="s">
        <v>1928</v>
      </c>
      <c r="I33" s="10" t="s">
        <v>54</v>
      </c>
      <c r="J33" s="12" t="s">
        <v>1929</v>
      </c>
      <c r="K33" s="12" t="s">
        <v>55</v>
      </c>
      <c r="L33" s="81" t="s">
        <v>1930</v>
      </c>
      <c r="M33" s="10" t="s">
        <v>54</v>
      </c>
      <c r="N33" s="81" t="s">
        <v>1931</v>
      </c>
      <c r="O33" s="9" t="s">
        <v>2274</v>
      </c>
      <c r="P33" s="104" t="s">
        <v>2437</v>
      </c>
      <c r="Q33" s="7"/>
      <c r="R33" s="1"/>
    </row>
    <row r="34" spans="1:18" ht="51">
      <c r="A34" s="1"/>
      <c r="B34" s="6"/>
      <c r="C34" s="11">
        <f>SUBTOTAL(103,$D$4:D34)</f>
        <v>31</v>
      </c>
      <c r="D34" s="9" t="s">
        <v>1410</v>
      </c>
      <c r="E34" s="12" t="s">
        <v>1932</v>
      </c>
      <c r="F34" s="10" t="s">
        <v>22</v>
      </c>
      <c r="G34" s="12" t="s">
        <v>55</v>
      </c>
      <c r="H34" s="80" t="s">
        <v>1933</v>
      </c>
      <c r="I34" s="10" t="s">
        <v>54</v>
      </c>
      <c r="J34" s="12" t="s">
        <v>1934</v>
      </c>
      <c r="K34" s="10" t="s">
        <v>54</v>
      </c>
      <c r="L34" s="81" t="s">
        <v>1935</v>
      </c>
      <c r="M34" s="10" t="s">
        <v>54</v>
      </c>
      <c r="N34" s="81" t="s">
        <v>1936</v>
      </c>
      <c r="O34" s="9"/>
      <c r="P34" s="104" t="s">
        <v>2437</v>
      </c>
      <c r="Q34" s="7"/>
      <c r="R34" s="1"/>
    </row>
    <row r="35" spans="1:18" ht="68">
      <c r="A35" s="1"/>
      <c r="B35" s="6"/>
      <c r="C35" s="11">
        <f>SUBTOTAL(103,$D$4:D35)</f>
        <v>32</v>
      </c>
      <c r="D35" s="9" t="s">
        <v>1410</v>
      </c>
      <c r="E35" s="12" t="s">
        <v>2271</v>
      </c>
      <c r="F35" s="10" t="s">
        <v>22</v>
      </c>
      <c r="G35" s="10" t="s">
        <v>54</v>
      </c>
      <c r="H35" s="80" t="s">
        <v>1937</v>
      </c>
      <c r="I35" s="12" t="s">
        <v>55</v>
      </c>
      <c r="J35" s="12" t="s">
        <v>1938</v>
      </c>
      <c r="K35" s="10" t="s">
        <v>54</v>
      </c>
      <c r="L35" s="81" t="s">
        <v>1939</v>
      </c>
      <c r="M35" s="10" t="s">
        <v>54</v>
      </c>
      <c r="N35" s="81" t="s">
        <v>1940</v>
      </c>
      <c r="O35" s="9" t="s">
        <v>2272</v>
      </c>
      <c r="P35" s="104" t="s">
        <v>2437</v>
      </c>
      <c r="Q35" s="7"/>
      <c r="R35" s="1"/>
    </row>
    <row r="36" spans="1:18" ht="51">
      <c r="A36" s="1"/>
      <c r="B36" s="6"/>
      <c r="C36" s="11">
        <f>SUBTOTAL(103,$D$4:D36)</f>
        <v>33</v>
      </c>
      <c r="D36" s="9" t="s">
        <v>1410</v>
      </c>
      <c r="E36" s="12" t="s">
        <v>1941</v>
      </c>
      <c r="F36" s="10" t="s">
        <v>8</v>
      </c>
      <c r="G36" s="10" t="s">
        <v>54</v>
      </c>
      <c r="H36" s="80" t="s">
        <v>10</v>
      </c>
      <c r="I36" s="12" t="s">
        <v>55</v>
      </c>
      <c r="J36" s="12" t="s">
        <v>9</v>
      </c>
      <c r="K36" s="10" t="s">
        <v>54</v>
      </c>
      <c r="L36" s="81" t="s">
        <v>177</v>
      </c>
      <c r="M36" s="10" t="s">
        <v>54</v>
      </c>
      <c r="N36" s="81" t="s">
        <v>177</v>
      </c>
      <c r="O36" s="9"/>
      <c r="P36" s="104" t="s">
        <v>2437</v>
      </c>
      <c r="Q36" s="7"/>
      <c r="R36" s="1"/>
    </row>
    <row r="37" spans="1:18" ht="34">
      <c r="A37" s="1"/>
      <c r="B37" s="6"/>
      <c r="C37" s="11">
        <f>SUBTOTAL(103,$D$4:D37)</f>
        <v>34</v>
      </c>
      <c r="D37" s="9" t="s">
        <v>1410</v>
      </c>
      <c r="E37" s="12" t="s">
        <v>1942</v>
      </c>
      <c r="F37" s="10" t="s">
        <v>8</v>
      </c>
      <c r="G37" s="10" t="s">
        <v>54</v>
      </c>
      <c r="H37" s="80" t="s">
        <v>10</v>
      </c>
      <c r="I37" s="12" t="s">
        <v>55</v>
      </c>
      <c r="J37" s="12" t="s">
        <v>9</v>
      </c>
      <c r="K37" s="10" t="s">
        <v>54</v>
      </c>
      <c r="L37" s="81" t="s">
        <v>177</v>
      </c>
      <c r="M37" s="10" t="s">
        <v>54</v>
      </c>
      <c r="N37" s="81" t="s">
        <v>177</v>
      </c>
      <c r="O37" s="9" t="s">
        <v>2276</v>
      </c>
      <c r="P37" s="104" t="s">
        <v>2437</v>
      </c>
      <c r="Q37" s="7"/>
      <c r="R37" s="1"/>
    </row>
    <row r="38" spans="1:18" ht="68">
      <c r="A38" s="1"/>
      <c r="B38" s="6"/>
      <c r="C38" s="11">
        <f>SUBTOTAL(103,$D$4:D38)</f>
        <v>35</v>
      </c>
      <c r="D38" s="9" t="s">
        <v>1410</v>
      </c>
      <c r="E38" s="12" t="s">
        <v>1943</v>
      </c>
      <c r="F38" s="10" t="s">
        <v>8</v>
      </c>
      <c r="G38" s="10" t="s">
        <v>54</v>
      </c>
      <c r="H38" s="80" t="s">
        <v>10</v>
      </c>
      <c r="I38" s="12" t="s">
        <v>55</v>
      </c>
      <c r="J38" s="12" t="s">
        <v>9</v>
      </c>
      <c r="K38" s="10" t="s">
        <v>54</v>
      </c>
      <c r="L38" s="81" t="s">
        <v>177</v>
      </c>
      <c r="M38" s="10" t="s">
        <v>54</v>
      </c>
      <c r="N38" s="81" t="s">
        <v>177</v>
      </c>
      <c r="O38" s="9" t="s">
        <v>2275</v>
      </c>
      <c r="P38" s="104" t="s">
        <v>2437</v>
      </c>
      <c r="Q38" s="7"/>
      <c r="R38" s="1"/>
    </row>
    <row r="39" spans="1:18" ht="34">
      <c r="A39" s="1"/>
      <c r="B39" s="6"/>
      <c r="C39" s="11">
        <f>SUBTOTAL(103,$D$4:D39)</f>
        <v>36</v>
      </c>
      <c r="D39" s="9" t="s">
        <v>1410</v>
      </c>
      <c r="E39" s="12" t="s">
        <v>1954</v>
      </c>
      <c r="F39" s="10" t="s">
        <v>22</v>
      </c>
      <c r="G39" s="10" t="s">
        <v>54</v>
      </c>
      <c r="H39" s="80" t="s">
        <v>1955</v>
      </c>
      <c r="I39" s="10" t="s">
        <v>54</v>
      </c>
      <c r="J39" s="12" t="s">
        <v>1956</v>
      </c>
      <c r="K39" s="12" t="s">
        <v>55</v>
      </c>
      <c r="L39" s="81" t="s">
        <v>1957</v>
      </c>
      <c r="M39" s="10" t="s">
        <v>54</v>
      </c>
      <c r="N39" s="81" t="s">
        <v>1958</v>
      </c>
      <c r="O39" s="9"/>
      <c r="P39" s="104" t="s">
        <v>2437</v>
      </c>
      <c r="Q39" s="7"/>
      <c r="R39" s="1"/>
    </row>
    <row r="40" spans="1:18" ht="51">
      <c r="A40" s="1"/>
      <c r="B40" s="6"/>
      <c r="C40" s="11">
        <f>SUBTOTAL(103,$D$4:D40)</f>
        <v>37</v>
      </c>
      <c r="D40" s="9" t="s">
        <v>1410</v>
      </c>
      <c r="E40" s="12" t="s">
        <v>1959</v>
      </c>
      <c r="F40" s="10" t="s">
        <v>22</v>
      </c>
      <c r="G40" s="10" t="s">
        <v>54</v>
      </c>
      <c r="H40" s="80" t="s">
        <v>1960</v>
      </c>
      <c r="I40" s="12" t="s">
        <v>55</v>
      </c>
      <c r="J40" s="12" t="s">
        <v>1961</v>
      </c>
      <c r="K40" s="10" t="s">
        <v>54</v>
      </c>
      <c r="L40" s="81" t="s">
        <v>2269</v>
      </c>
      <c r="M40" s="10" t="s">
        <v>54</v>
      </c>
      <c r="N40" s="81" t="s">
        <v>1271</v>
      </c>
      <c r="O40" s="9"/>
      <c r="P40" s="104" t="s">
        <v>2437</v>
      </c>
      <c r="Q40" s="7"/>
      <c r="R40" s="1"/>
    </row>
    <row r="41" spans="1:18" ht="17">
      <c r="A41" s="1"/>
      <c r="B41" s="6"/>
      <c r="C41" s="11">
        <f>SUBTOTAL(103,$D$4:D41)</f>
        <v>38</v>
      </c>
      <c r="D41" s="9" t="s">
        <v>1410</v>
      </c>
      <c r="E41" s="12" t="s">
        <v>1962</v>
      </c>
      <c r="F41" s="10" t="s">
        <v>22</v>
      </c>
      <c r="G41" s="10" t="s">
        <v>54</v>
      </c>
      <c r="H41" s="81" t="s">
        <v>2269</v>
      </c>
      <c r="I41" s="10" t="s">
        <v>54</v>
      </c>
      <c r="J41" s="12" t="s">
        <v>1963</v>
      </c>
      <c r="K41" s="10" t="s">
        <v>54</v>
      </c>
      <c r="L41" s="81" t="s">
        <v>1964</v>
      </c>
      <c r="M41" s="94" t="s">
        <v>55</v>
      </c>
      <c r="N41" s="81" t="s">
        <v>1271</v>
      </c>
      <c r="O41" s="9"/>
      <c r="P41" s="104" t="s">
        <v>2437</v>
      </c>
      <c r="Q41" s="7"/>
      <c r="R41" s="1"/>
    </row>
    <row r="42" spans="1:18" ht="51">
      <c r="A42" s="1"/>
      <c r="B42" s="6"/>
      <c r="C42" s="11">
        <f>SUBTOTAL(103,$D$4:D42)</f>
        <v>39</v>
      </c>
      <c r="D42" s="9" t="s">
        <v>1410</v>
      </c>
      <c r="E42" s="12" t="s">
        <v>1965</v>
      </c>
      <c r="F42" s="10" t="s">
        <v>12</v>
      </c>
      <c r="G42" s="94" t="s">
        <v>55</v>
      </c>
      <c r="H42" s="80" t="s">
        <v>1966</v>
      </c>
      <c r="I42" s="94" t="s">
        <v>55</v>
      </c>
      <c r="J42" s="12" t="s">
        <v>1967</v>
      </c>
      <c r="K42" s="94" t="s">
        <v>55</v>
      </c>
      <c r="L42" s="81" t="s">
        <v>2252</v>
      </c>
      <c r="M42" s="94" t="s">
        <v>55</v>
      </c>
      <c r="N42" s="81" t="s">
        <v>1968</v>
      </c>
      <c r="O42" s="9"/>
      <c r="P42" s="104" t="s">
        <v>2437</v>
      </c>
      <c r="Q42" s="7"/>
      <c r="R42" s="1"/>
    </row>
    <row r="43" spans="1:18" ht="17">
      <c r="A43" s="1"/>
      <c r="B43" s="6"/>
      <c r="C43" s="11">
        <f>SUBTOTAL(103,$D$4:D43)</f>
        <v>40</v>
      </c>
      <c r="D43" s="9" t="s">
        <v>1410</v>
      </c>
      <c r="E43" s="12" t="s">
        <v>1969</v>
      </c>
      <c r="F43" s="10" t="s">
        <v>8</v>
      </c>
      <c r="G43" s="12" t="s">
        <v>55</v>
      </c>
      <c r="H43" s="80" t="s">
        <v>10</v>
      </c>
      <c r="I43" s="10" t="s">
        <v>54</v>
      </c>
      <c r="J43" s="12" t="s">
        <v>9</v>
      </c>
      <c r="K43" s="10" t="s">
        <v>54</v>
      </c>
      <c r="L43" s="81" t="s">
        <v>177</v>
      </c>
      <c r="M43" s="10" t="s">
        <v>54</v>
      </c>
      <c r="N43" s="81" t="s">
        <v>177</v>
      </c>
      <c r="O43" s="9"/>
      <c r="P43" s="104" t="s">
        <v>2437</v>
      </c>
      <c r="Q43" s="7"/>
      <c r="R43" s="1"/>
    </row>
    <row r="44" spans="1:18" ht="34">
      <c r="A44" s="1"/>
      <c r="B44" s="6"/>
      <c r="C44" s="11">
        <f>SUBTOTAL(103,$D$4:D44)</f>
        <v>41</v>
      </c>
      <c r="D44" s="9" t="s">
        <v>1410</v>
      </c>
      <c r="E44" s="12" t="s">
        <v>1970</v>
      </c>
      <c r="F44" s="10" t="s">
        <v>8</v>
      </c>
      <c r="G44" s="12" t="s">
        <v>55</v>
      </c>
      <c r="H44" s="80" t="s">
        <v>10</v>
      </c>
      <c r="I44" s="10" t="s">
        <v>54</v>
      </c>
      <c r="J44" s="12" t="s">
        <v>9</v>
      </c>
      <c r="K44" s="10" t="s">
        <v>54</v>
      </c>
      <c r="L44" s="81" t="s">
        <v>177</v>
      </c>
      <c r="M44" s="10" t="s">
        <v>54</v>
      </c>
      <c r="N44" s="81" t="s">
        <v>177</v>
      </c>
      <c r="O44" s="9"/>
      <c r="P44" s="104" t="s">
        <v>2437</v>
      </c>
      <c r="Q44" s="7"/>
      <c r="R44" s="1"/>
    </row>
    <row r="45" spans="1:18" ht="34">
      <c r="A45" s="1"/>
      <c r="B45" s="6"/>
      <c r="C45" s="11">
        <f>SUBTOTAL(103,$D$4:D45)</f>
        <v>42</v>
      </c>
      <c r="D45" s="9" t="s">
        <v>1410</v>
      </c>
      <c r="E45" s="12" t="s">
        <v>1971</v>
      </c>
      <c r="F45" s="10" t="s">
        <v>12</v>
      </c>
      <c r="G45" s="12" t="s">
        <v>55</v>
      </c>
      <c r="H45" s="80" t="s">
        <v>1972</v>
      </c>
      <c r="I45" s="12" t="s">
        <v>55</v>
      </c>
      <c r="J45" s="12" t="s">
        <v>1973</v>
      </c>
      <c r="K45" s="12" t="s">
        <v>55</v>
      </c>
      <c r="L45" s="81" t="s">
        <v>1974</v>
      </c>
      <c r="M45" s="12" t="s">
        <v>55</v>
      </c>
      <c r="N45" s="81" t="s">
        <v>1975</v>
      </c>
      <c r="O45" s="9"/>
      <c r="P45" s="104" t="s">
        <v>2437</v>
      </c>
      <c r="Q45" s="7"/>
      <c r="R45" s="1"/>
    </row>
    <row r="46" spans="1:18" ht="68">
      <c r="A46" s="1"/>
      <c r="B46" s="6"/>
      <c r="C46" s="11">
        <f>SUBTOTAL(103,$D$4:D46)</f>
        <v>43</v>
      </c>
      <c r="D46" s="9" t="s">
        <v>1410</v>
      </c>
      <c r="E46" s="12" t="s">
        <v>1976</v>
      </c>
      <c r="F46" s="10" t="s">
        <v>22</v>
      </c>
      <c r="G46" s="10" t="s">
        <v>54</v>
      </c>
      <c r="H46" s="80" t="s">
        <v>1977</v>
      </c>
      <c r="I46" s="12" t="s">
        <v>55</v>
      </c>
      <c r="J46" s="12" t="s">
        <v>1978</v>
      </c>
      <c r="K46" s="10" t="s">
        <v>54</v>
      </c>
      <c r="L46" s="81" t="s">
        <v>1979</v>
      </c>
      <c r="M46" s="10" t="s">
        <v>54</v>
      </c>
      <c r="N46" s="81" t="s">
        <v>1980</v>
      </c>
      <c r="O46" s="9"/>
      <c r="P46" s="104" t="s">
        <v>2437</v>
      </c>
      <c r="Q46" s="7"/>
      <c r="R46" s="1"/>
    </row>
    <row r="47" spans="1:18" ht="68">
      <c r="A47" s="1"/>
      <c r="B47" s="6"/>
      <c r="C47" s="11">
        <f>SUBTOTAL(103,$D$4:D47)</f>
        <v>44</v>
      </c>
      <c r="D47" s="9" t="s">
        <v>1410</v>
      </c>
      <c r="E47" s="12" t="s">
        <v>1981</v>
      </c>
      <c r="F47" s="10" t="s">
        <v>22</v>
      </c>
      <c r="G47" s="12" t="s">
        <v>55</v>
      </c>
      <c r="H47" s="80" t="s">
        <v>1982</v>
      </c>
      <c r="I47" s="10" t="s">
        <v>54</v>
      </c>
      <c r="J47" s="12" t="s">
        <v>1983</v>
      </c>
      <c r="K47" s="10" t="s">
        <v>54</v>
      </c>
      <c r="L47" s="81" t="s">
        <v>1984</v>
      </c>
      <c r="M47" s="10" t="s">
        <v>54</v>
      </c>
      <c r="N47" s="81" t="s">
        <v>1985</v>
      </c>
      <c r="O47" s="9" t="s">
        <v>2336</v>
      </c>
      <c r="P47" s="104" t="s">
        <v>2437</v>
      </c>
      <c r="Q47" s="7"/>
      <c r="R47" s="1"/>
    </row>
    <row r="48" spans="1:18" ht="221">
      <c r="A48" s="1"/>
      <c r="B48" s="6"/>
      <c r="C48" s="11">
        <f>SUBTOTAL(103,$D$4:D48)</f>
        <v>45</v>
      </c>
      <c r="D48" s="9" t="s">
        <v>1410</v>
      </c>
      <c r="E48" s="12" t="s">
        <v>1986</v>
      </c>
      <c r="F48" s="10" t="s">
        <v>22</v>
      </c>
      <c r="G48" s="10" t="s">
        <v>54</v>
      </c>
      <c r="H48" s="80" t="s">
        <v>1987</v>
      </c>
      <c r="I48" s="12" t="s">
        <v>55</v>
      </c>
      <c r="J48" s="12" t="s">
        <v>2243</v>
      </c>
      <c r="K48" s="10" t="s">
        <v>54</v>
      </c>
      <c r="L48" s="81" t="s">
        <v>1988</v>
      </c>
      <c r="M48" s="10" t="s">
        <v>54</v>
      </c>
      <c r="N48" s="81" t="s">
        <v>1989</v>
      </c>
      <c r="O48" s="9"/>
      <c r="P48" s="104" t="s">
        <v>2437</v>
      </c>
      <c r="Q48" s="7"/>
      <c r="R48" s="1"/>
    </row>
    <row r="49" spans="1:18" ht="51">
      <c r="A49" s="1"/>
      <c r="B49" s="6"/>
      <c r="C49" s="11">
        <f>SUBTOTAL(103,$D$4:D49)</f>
        <v>46</v>
      </c>
      <c r="D49" s="9" t="s">
        <v>1410</v>
      </c>
      <c r="E49" s="12" t="s">
        <v>1990</v>
      </c>
      <c r="F49" s="10" t="s">
        <v>8</v>
      </c>
      <c r="G49" s="12" t="s">
        <v>55</v>
      </c>
      <c r="H49" s="80" t="s">
        <v>10</v>
      </c>
      <c r="I49" s="10" t="s">
        <v>54</v>
      </c>
      <c r="J49" s="12" t="s">
        <v>9</v>
      </c>
      <c r="K49" s="10" t="s">
        <v>54</v>
      </c>
      <c r="L49" s="81" t="s">
        <v>177</v>
      </c>
      <c r="M49" s="10" t="s">
        <v>54</v>
      </c>
      <c r="N49" s="81" t="s">
        <v>177</v>
      </c>
      <c r="O49" s="9"/>
      <c r="P49" s="104" t="s">
        <v>2437</v>
      </c>
      <c r="Q49" s="7"/>
      <c r="R49" s="1"/>
    </row>
    <row r="50" spans="1:18" ht="34">
      <c r="A50" s="1"/>
      <c r="B50" s="6"/>
      <c r="C50" s="11">
        <f>SUBTOTAL(103,$D$4:D50)</f>
        <v>47</v>
      </c>
      <c r="D50" s="9" t="s">
        <v>1410</v>
      </c>
      <c r="E50" s="12" t="s">
        <v>1991</v>
      </c>
      <c r="F50" s="10" t="s">
        <v>8</v>
      </c>
      <c r="G50" s="10" t="s">
        <v>54</v>
      </c>
      <c r="H50" s="80" t="s">
        <v>10</v>
      </c>
      <c r="I50" s="12" t="s">
        <v>55</v>
      </c>
      <c r="J50" s="12" t="s">
        <v>9</v>
      </c>
      <c r="K50" s="10" t="s">
        <v>54</v>
      </c>
      <c r="L50" s="81" t="s">
        <v>177</v>
      </c>
      <c r="M50" s="10" t="s">
        <v>54</v>
      </c>
      <c r="N50" s="81" t="s">
        <v>177</v>
      </c>
      <c r="O50" s="9"/>
      <c r="P50" s="104" t="s">
        <v>2437</v>
      </c>
      <c r="Q50" s="7"/>
      <c r="R50" s="1"/>
    </row>
    <row r="51" spans="1:18" ht="51">
      <c r="A51" s="1"/>
      <c r="B51" s="6"/>
      <c r="C51" s="11">
        <f>SUBTOTAL(103,$D$4:D51)</f>
        <v>48</v>
      </c>
      <c r="D51" s="9" t="s">
        <v>1410</v>
      </c>
      <c r="E51" s="12" t="s">
        <v>1992</v>
      </c>
      <c r="F51" s="10" t="s">
        <v>22</v>
      </c>
      <c r="G51" s="10" t="s">
        <v>54</v>
      </c>
      <c r="H51" s="80" t="s">
        <v>1993</v>
      </c>
      <c r="I51" s="10" t="s">
        <v>54</v>
      </c>
      <c r="J51" s="12" t="s">
        <v>1994</v>
      </c>
      <c r="K51" s="10" t="s">
        <v>54</v>
      </c>
      <c r="L51" s="81" t="s">
        <v>1995</v>
      </c>
      <c r="M51" s="12" t="s">
        <v>55</v>
      </c>
      <c r="N51" s="81" t="s">
        <v>1996</v>
      </c>
      <c r="O51" s="9"/>
      <c r="P51" s="104" t="s">
        <v>2437</v>
      </c>
      <c r="Q51" s="7"/>
      <c r="R51" s="1"/>
    </row>
    <row r="52" spans="1:18" ht="68">
      <c r="A52" s="1"/>
      <c r="B52" s="6"/>
      <c r="C52" s="11">
        <f>SUBTOTAL(103,$D$4:D52)</f>
        <v>49</v>
      </c>
      <c r="D52" s="9" t="s">
        <v>1410</v>
      </c>
      <c r="E52" s="12" t="s">
        <v>1998</v>
      </c>
      <c r="F52" s="10" t="s">
        <v>22</v>
      </c>
      <c r="G52" s="10" t="s">
        <v>54</v>
      </c>
      <c r="H52" s="80" t="s">
        <v>1999</v>
      </c>
      <c r="I52" s="10" t="s">
        <v>54</v>
      </c>
      <c r="J52" s="12" t="s">
        <v>2000</v>
      </c>
      <c r="K52" s="12" t="s">
        <v>55</v>
      </c>
      <c r="L52" s="81" t="s">
        <v>2001</v>
      </c>
      <c r="M52" s="10" t="s">
        <v>54</v>
      </c>
      <c r="N52" s="81" t="s">
        <v>2002</v>
      </c>
      <c r="O52" s="9"/>
      <c r="P52" s="104" t="s">
        <v>2437</v>
      </c>
      <c r="Q52" s="7"/>
      <c r="R52" s="1"/>
    </row>
    <row r="53" spans="1:18" ht="34">
      <c r="A53" s="1"/>
      <c r="B53" s="6"/>
      <c r="C53" s="11">
        <f>SUBTOTAL(103,$D$4:D53)</f>
        <v>50</v>
      </c>
      <c r="D53" s="9" t="s">
        <v>1410</v>
      </c>
      <c r="E53" s="12" t="s">
        <v>1997</v>
      </c>
      <c r="F53" s="10" t="s">
        <v>8</v>
      </c>
      <c r="G53" s="10" t="s">
        <v>54</v>
      </c>
      <c r="H53" s="80" t="s">
        <v>10</v>
      </c>
      <c r="I53" s="12" t="s">
        <v>55</v>
      </c>
      <c r="J53" s="12" t="s">
        <v>9</v>
      </c>
      <c r="K53" s="10" t="s">
        <v>54</v>
      </c>
      <c r="L53" s="81" t="s">
        <v>177</v>
      </c>
      <c r="M53" s="10" t="s">
        <v>54</v>
      </c>
      <c r="N53" s="81" t="s">
        <v>177</v>
      </c>
      <c r="O53" s="9"/>
      <c r="P53" s="104" t="s">
        <v>2437</v>
      </c>
      <c r="Q53" s="7"/>
      <c r="R53" s="1"/>
    </row>
    <row r="54" spans="1:18" ht="51">
      <c r="A54" s="1"/>
      <c r="B54" s="6"/>
      <c r="C54" s="11">
        <f>SUBTOTAL(103,$D$4:D54)</f>
        <v>51</v>
      </c>
      <c r="D54" s="9" t="s">
        <v>1410</v>
      </c>
      <c r="E54" s="12" t="s">
        <v>2003</v>
      </c>
      <c r="F54" s="10" t="s">
        <v>8</v>
      </c>
      <c r="G54" s="12" t="s">
        <v>55</v>
      </c>
      <c r="H54" s="80" t="s">
        <v>10</v>
      </c>
      <c r="I54" s="10" t="s">
        <v>54</v>
      </c>
      <c r="J54" s="12" t="s">
        <v>9</v>
      </c>
      <c r="K54" s="10" t="s">
        <v>54</v>
      </c>
      <c r="L54" s="81" t="s">
        <v>177</v>
      </c>
      <c r="M54" s="10" t="s">
        <v>54</v>
      </c>
      <c r="N54" s="81" t="s">
        <v>177</v>
      </c>
      <c r="O54" s="9"/>
      <c r="P54" s="104" t="s">
        <v>2437</v>
      </c>
      <c r="Q54" s="7"/>
      <c r="R54" s="1"/>
    </row>
    <row r="55" spans="1:18" ht="119">
      <c r="A55" s="1"/>
      <c r="B55" s="6"/>
      <c r="C55" s="11">
        <f>SUBTOTAL(103,$D$4:D55)</f>
        <v>52</v>
      </c>
      <c r="D55" s="9" t="s">
        <v>1410</v>
      </c>
      <c r="E55" s="12" t="s">
        <v>2004</v>
      </c>
      <c r="F55" s="10" t="s">
        <v>12</v>
      </c>
      <c r="G55" s="12" t="s">
        <v>55</v>
      </c>
      <c r="H55" s="80" t="s">
        <v>2005</v>
      </c>
      <c r="I55" s="12" t="s">
        <v>55</v>
      </c>
      <c r="J55" s="12" t="s">
        <v>2006</v>
      </c>
      <c r="K55" s="10" t="s">
        <v>54</v>
      </c>
      <c r="L55" s="81" t="s">
        <v>2007</v>
      </c>
      <c r="M55" s="10" t="s">
        <v>54</v>
      </c>
      <c r="N55" s="81" t="s">
        <v>2008</v>
      </c>
      <c r="O55" s="9"/>
      <c r="P55" s="104" t="s">
        <v>2437</v>
      </c>
      <c r="Q55" s="7"/>
      <c r="R55" s="1"/>
    </row>
    <row r="56" spans="1:18" ht="136">
      <c r="A56" s="1"/>
      <c r="B56" s="6"/>
      <c r="C56" s="11">
        <f>SUBTOTAL(103,$D$4:D56)</f>
        <v>53</v>
      </c>
      <c r="D56" s="9" t="s">
        <v>1410</v>
      </c>
      <c r="E56" s="12" t="s">
        <v>2009</v>
      </c>
      <c r="F56" s="10" t="s">
        <v>22</v>
      </c>
      <c r="G56" s="10" t="s">
        <v>54</v>
      </c>
      <c r="H56" s="80" t="s">
        <v>2010</v>
      </c>
      <c r="I56" s="10" t="s">
        <v>54</v>
      </c>
      <c r="J56" s="12" t="s">
        <v>2011</v>
      </c>
      <c r="K56" s="10" t="s">
        <v>54</v>
      </c>
      <c r="L56" s="81" t="s">
        <v>2012</v>
      </c>
      <c r="M56" s="12" t="s">
        <v>55</v>
      </c>
      <c r="N56" s="81" t="s">
        <v>2013</v>
      </c>
      <c r="O56" s="9"/>
      <c r="P56" s="104" t="s">
        <v>2437</v>
      </c>
      <c r="Q56" s="7"/>
      <c r="R56" s="1"/>
    </row>
    <row r="57" spans="1:18" ht="17">
      <c r="A57" s="1"/>
      <c r="B57" s="6"/>
      <c r="C57" s="11">
        <f>SUBTOTAL(103,$D$4:D57)</f>
        <v>54</v>
      </c>
      <c r="D57" s="9" t="s">
        <v>1410</v>
      </c>
      <c r="E57" s="12" t="s">
        <v>2014</v>
      </c>
      <c r="F57" s="10" t="s">
        <v>8</v>
      </c>
      <c r="G57" s="10" t="s">
        <v>54</v>
      </c>
      <c r="H57" s="80" t="s">
        <v>10</v>
      </c>
      <c r="I57" s="94" t="s">
        <v>55</v>
      </c>
      <c r="J57" s="12" t="s">
        <v>9</v>
      </c>
      <c r="K57" s="10" t="s">
        <v>54</v>
      </c>
      <c r="L57" s="81" t="s">
        <v>177</v>
      </c>
      <c r="M57" s="10" t="s">
        <v>54</v>
      </c>
      <c r="N57" s="81" t="s">
        <v>177</v>
      </c>
      <c r="O57" s="9"/>
      <c r="P57" s="104" t="s">
        <v>2437</v>
      </c>
      <c r="Q57" s="7"/>
      <c r="R57" s="1"/>
    </row>
    <row r="58" spans="1:18" ht="51">
      <c r="A58" s="1"/>
      <c r="B58" s="6"/>
      <c r="C58" s="11">
        <f>SUBTOTAL(103,$D$4:D58)</f>
        <v>55</v>
      </c>
      <c r="D58" s="9" t="s">
        <v>1410</v>
      </c>
      <c r="E58" s="12" t="s">
        <v>2015</v>
      </c>
      <c r="F58" s="10" t="s">
        <v>8</v>
      </c>
      <c r="G58" s="10" t="s">
        <v>54</v>
      </c>
      <c r="H58" s="80" t="s">
        <v>10</v>
      </c>
      <c r="I58" s="94" t="s">
        <v>55</v>
      </c>
      <c r="J58" s="12" t="s">
        <v>9</v>
      </c>
      <c r="K58" s="10" t="s">
        <v>54</v>
      </c>
      <c r="L58" s="81" t="s">
        <v>177</v>
      </c>
      <c r="M58" s="10" t="s">
        <v>54</v>
      </c>
      <c r="N58" s="81" t="s">
        <v>177</v>
      </c>
      <c r="O58" s="9"/>
      <c r="P58" s="104" t="s">
        <v>2437</v>
      </c>
      <c r="Q58" s="7"/>
      <c r="R58" s="1"/>
    </row>
    <row r="59" spans="1:18" ht="51">
      <c r="A59" s="1"/>
      <c r="B59" s="6"/>
      <c r="C59" s="11">
        <f>SUBTOTAL(103,$D$4:D59)</f>
        <v>56</v>
      </c>
      <c r="D59" s="9" t="s">
        <v>1410</v>
      </c>
      <c r="E59" s="12" t="s">
        <v>2016</v>
      </c>
      <c r="F59" s="10" t="s">
        <v>8</v>
      </c>
      <c r="G59" s="94" t="s">
        <v>55</v>
      </c>
      <c r="H59" s="80" t="s">
        <v>10</v>
      </c>
      <c r="I59" s="10" t="s">
        <v>54</v>
      </c>
      <c r="J59" s="12" t="s">
        <v>9</v>
      </c>
      <c r="K59" s="10" t="s">
        <v>54</v>
      </c>
      <c r="L59" s="81" t="s">
        <v>177</v>
      </c>
      <c r="M59" s="10" t="s">
        <v>54</v>
      </c>
      <c r="N59" s="81" t="s">
        <v>177</v>
      </c>
      <c r="O59" s="9"/>
      <c r="P59" s="104" t="s">
        <v>2437</v>
      </c>
      <c r="Q59" s="7"/>
      <c r="R59" s="1"/>
    </row>
    <row r="60" spans="1:18" ht="85">
      <c r="A60" s="1"/>
      <c r="B60" s="6"/>
      <c r="C60" s="11">
        <f>SUBTOTAL(103,$D$4:D60)</f>
        <v>57</v>
      </c>
      <c r="D60" s="9" t="s">
        <v>1410</v>
      </c>
      <c r="E60" s="12" t="s">
        <v>2028</v>
      </c>
      <c r="F60" s="10" t="s">
        <v>22</v>
      </c>
      <c r="G60" s="10" t="s">
        <v>54</v>
      </c>
      <c r="H60" s="80" t="s">
        <v>2029</v>
      </c>
      <c r="I60" s="12" t="s">
        <v>55</v>
      </c>
      <c r="J60" s="12" t="s">
        <v>2030</v>
      </c>
      <c r="K60" s="10" t="s">
        <v>54</v>
      </c>
      <c r="L60" s="81" t="s">
        <v>2031</v>
      </c>
      <c r="M60" s="10" t="s">
        <v>54</v>
      </c>
      <c r="N60" s="81" t="s">
        <v>2032</v>
      </c>
      <c r="O60" s="9"/>
      <c r="P60" s="104" t="s">
        <v>2437</v>
      </c>
      <c r="Q60" s="7"/>
      <c r="R60" s="1"/>
    </row>
    <row r="61" spans="1:18" ht="119">
      <c r="A61" s="1"/>
      <c r="B61" s="6"/>
      <c r="C61" s="11">
        <f>SUBTOTAL(103,$D$4:D61)</f>
        <v>58</v>
      </c>
      <c r="D61" s="9" t="s">
        <v>1410</v>
      </c>
      <c r="E61" s="12" t="s">
        <v>2033</v>
      </c>
      <c r="F61" s="10" t="s">
        <v>22</v>
      </c>
      <c r="G61" s="10" t="s">
        <v>54</v>
      </c>
      <c r="H61" s="80" t="s">
        <v>2034</v>
      </c>
      <c r="I61" s="10" t="s">
        <v>54</v>
      </c>
      <c r="J61" s="12" t="s">
        <v>2035</v>
      </c>
      <c r="K61" s="12" t="s">
        <v>55</v>
      </c>
      <c r="L61" s="81" t="s">
        <v>2036</v>
      </c>
      <c r="M61" s="10" t="s">
        <v>54</v>
      </c>
      <c r="N61" s="81" t="s">
        <v>2037</v>
      </c>
      <c r="O61" s="9"/>
      <c r="P61" s="104" t="s">
        <v>2437</v>
      </c>
      <c r="Q61" s="7"/>
      <c r="R61" s="1"/>
    </row>
    <row r="62" spans="1:18" ht="34">
      <c r="A62" s="1"/>
      <c r="B62" s="6"/>
      <c r="C62" s="11">
        <f>SUBTOTAL(103,$D$4:D62)</f>
        <v>59</v>
      </c>
      <c r="D62" s="9" t="s">
        <v>1410</v>
      </c>
      <c r="E62" s="12" t="s">
        <v>2139</v>
      </c>
      <c r="F62" s="89" t="s">
        <v>22</v>
      </c>
      <c r="G62" s="10" t="s">
        <v>54</v>
      </c>
      <c r="H62" s="81" t="s">
        <v>2140</v>
      </c>
      <c r="I62" s="10" t="s">
        <v>54</v>
      </c>
      <c r="J62" s="81" t="s">
        <v>2141</v>
      </c>
      <c r="K62" s="94" t="s">
        <v>55</v>
      </c>
      <c r="L62" s="81" t="s">
        <v>2142</v>
      </c>
      <c r="M62" s="10" t="s">
        <v>54</v>
      </c>
      <c r="N62" s="81" t="s">
        <v>2143</v>
      </c>
      <c r="O62" s="9"/>
      <c r="P62" s="104" t="s">
        <v>2437</v>
      </c>
      <c r="Q62" s="7"/>
      <c r="R62" s="1"/>
    </row>
    <row r="63" spans="1:18" ht="34">
      <c r="A63" s="1"/>
      <c r="B63" s="6"/>
      <c r="C63" s="11">
        <f>SUBTOTAL(103,$D$4:D63)</f>
        <v>60</v>
      </c>
      <c r="D63" s="9" t="s">
        <v>1410</v>
      </c>
      <c r="E63" s="12" t="s">
        <v>2148</v>
      </c>
      <c r="F63" s="89" t="s">
        <v>22</v>
      </c>
      <c r="G63" s="10" t="s">
        <v>54</v>
      </c>
      <c r="H63" s="81" t="s">
        <v>2149</v>
      </c>
      <c r="I63" s="10" t="s">
        <v>54</v>
      </c>
      <c r="J63" s="81" t="s">
        <v>2150</v>
      </c>
      <c r="K63" s="10" t="s">
        <v>54</v>
      </c>
      <c r="L63" s="81" t="s">
        <v>2151</v>
      </c>
      <c r="M63" s="94" t="s">
        <v>55</v>
      </c>
      <c r="N63" s="81" t="s">
        <v>2152</v>
      </c>
      <c r="O63" s="9"/>
      <c r="P63" s="104" t="s">
        <v>2437</v>
      </c>
      <c r="Q63" s="7"/>
      <c r="R63" s="1"/>
    </row>
    <row r="64" spans="1:18" ht="51">
      <c r="A64" s="1"/>
      <c r="B64" s="6"/>
      <c r="C64" s="11">
        <f>SUBTOTAL(103,$D$4:D64)</f>
        <v>61</v>
      </c>
      <c r="D64" s="9" t="s">
        <v>1410</v>
      </c>
      <c r="E64" s="12" t="s">
        <v>2153</v>
      </c>
      <c r="F64" s="89" t="s">
        <v>12</v>
      </c>
      <c r="G64" s="94" t="s">
        <v>55</v>
      </c>
      <c r="H64" s="81" t="s">
        <v>2154</v>
      </c>
      <c r="I64" s="94" t="s">
        <v>55</v>
      </c>
      <c r="J64" s="81" t="s">
        <v>2155</v>
      </c>
      <c r="K64" s="94" t="s">
        <v>55</v>
      </c>
      <c r="L64" s="81" t="s">
        <v>2156</v>
      </c>
      <c r="M64" s="94" t="s">
        <v>55</v>
      </c>
      <c r="N64" s="81" t="s">
        <v>2157</v>
      </c>
      <c r="O64" s="9"/>
      <c r="P64" s="104" t="s">
        <v>2437</v>
      </c>
      <c r="Q64" s="7"/>
      <c r="R64" s="1"/>
    </row>
    <row r="65" spans="1:18" ht="153">
      <c r="A65" s="1"/>
      <c r="B65" s="6"/>
      <c r="C65" s="11">
        <f>SUBTOTAL(103,$D$4:D65)</f>
        <v>62</v>
      </c>
      <c r="D65" s="9" t="s">
        <v>1410</v>
      </c>
      <c r="E65" s="12" t="s">
        <v>2159</v>
      </c>
      <c r="F65" s="89" t="s">
        <v>12</v>
      </c>
      <c r="G65" s="10" t="s">
        <v>54</v>
      </c>
      <c r="H65" s="81" t="s">
        <v>2160</v>
      </c>
      <c r="I65" s="94" t="s">
        <v>55</v>
      </c>
      <c r="J65" s="81" t="s">
        <v>2161</v>
      </c>
      <c r="K65" s="10" t="s">
        <v>54</v>
      </c>
      <c r="L65" s="81" t="s">
        <v>2162</v>
      </c>
      <c r="M65" s="94" t="s">
        <v>55</v>
      </c>
      <c r="N65" s="81" t="s">
        <v>2163</v>
      </c>
      <c r="O65" s="9"/>
      <c r="P65" s="104" t="s">
        <v>2437</v>
      </c>
      <c r="Q65" s="7"/>
      <c r="R65" s="1"/>
    </row>
    <row r="66" spans="1:18" ht="34">
      <c r="A66" s="1"/>
      <c r="B66" s="6"/>
      <c r="C66" s="11">
        <f>SUBTOTAL(103,$D$4:D66)</f>
        <v>63</v>
      </c>
      <c r="D66" s="9" t="s">
        <v>1410</v>
      </c>
      <c r="E66" s="12" t="s">
        <v>2169</v>
      </c>
      <c r="F66" s="89" t="s">
        <v>22</v>
      </c>
      <c r="G66" s="94" t="s">
        <v>55</v>
      </c>
      <c r="H66" s="81" t="s">
        <v>2171</v>
      </c>
      <c r="I66" s="10" t="s">
        <v>54</v>
      </c>
      <c r="J66" s="81" t="s">
        <v>24</v>
      </c>
      <c r="K66" s="10" t="s">
        <v>54</v>
      </c>
      <c r="L66" s="81" t="s">
        <v>2172</v>
      </c>
      <c r="M66" s="10" t="s">
        <v>54</v>
      </c>
      <c r="N66" s="81" t="s">
        <v>1748</v>
      </c>
      <c r="O66" s="9"/>
      <c r="P66" s="104" t="s">
        <v>2437</v>
      </c>
      <c r="Q66" s="7"/>
      <c r="R66" s="1"/>
    </row>
    <row r="67" spans="1:18" ht="51">
      <c r="A67" s="1"/>
      <c r="B67" s="6"/>
      <c r="C67" s="11">
        <f>SUBTOTAL(103,$D$4:D67)</f>
        <v>64</v>
      </c>
      <c r="D67" s="9" t="s">
        <v>1411</v>
      </c>
      <c r="E67" s="12" t="s">
        <v>88</v>
      </c>
      <c r="F67" s="10" t="s">
        <v>8</v>
      </c>
      <c r="G67" s="12" t="s">
        <v>55</v>
      </c>
      <c r="H67" s="80" t="s">
        <v>10</v>
      </c>
      <c r="I67" s="10" t="s">
        <v>54</v>
      </c>
      <c r="J67" s="12" t="s">
        <v>9</v>
      </c>
      <c r="K67" s="10" t="s">
        <v>54</v>
      </c>
      <c r="L67" s="81" t="s">
        <v>177</v>
      </c>
      <c r="M67" s="10" t="s">
        <v>54</v>
      </c>
      <c r="N67" s="81" t="s">
        <v>177</v>
      </c>
      <c r="O67" s="9"/>
      <c r="P67" s="11">
        <v>21</v>
      </c>
      <c r="Q67" s="7"/>
      <c r="R67" s="1"/>
    </row>
    <row r="68" spans="1:18" ht="34">
      <c r="A68" s="1"/>
      <c r="B68" s="6"/>
      <c r="C68" s="11">
        <f>SUBTOTAL(103,$D$4:D68)</f>
        <v>65</v>
      </c>
      <c r="D68" s="9" t="s">
        <v>1411</v>
      </c>
      <c r="E68" s="12" t="s">
        <v>89</v>
      </c>
      <c r="F68" s="10" t="s">
        <v>8</v>
      </c>
      <c r="G68" s="12" t="s">
        <v>55</v>
      </c>
      <c r="H68" s="80" t="s">
        <v>10</v>
      </c>
      <c r="I68" s="10" t="s">
        <v>54</v>
      </c>
      <c r="J68" s="12" t="s">
        <v>9</v>
      </c>
      <c r="K68" s="10" t="s">
        <v>54</v>
      </c>
      <c r="L68" s="81" t="s">
        <v>177</v>
      </c>
      <c r="M68" s="10" t="s">
        <v>54</v>
      </c>
      <c r="N68" s="81" t="s">
        <v>177</v>
      </c>
      <c r="O68" s="9"/>
      <c r="P68" s="11">
        <v>22</v>
      </c>
      <c r="Q68" s="7"/>
      <c r="R68" s="1"/>
    </row>
    <row r="69" spans="1:18" ht="51">
      <c r="A69" s="1"/>
      <c r="B69" s="6"/>
      <c r="C69" s="11">
        <f>SUBTOTAL(103,$D$4:D69)</f>
        <v>66</v>
      </c>
      <c r="D69" s="9" t="s">
        <v>1411</v>
      </c>
      <c r="E69" s="12" t="s">
        <v>90</v>
      </c>
      <c r="F69" s="10" t="s">
        <v>8</v>
      </c>
      <c r="G69" s="12" t="s">
        <v>55</v>
      </c>
      <c r="H69" s="80" t="s">
        <v>10</v>
      </c>
      <c r="I69" s="10" t="s">
        <v>54</v>
      </c>
      <c r="J69" s="12" t="s">
        <v>9</v>
      </c>
      <c r="K69" s="10" t="s">
        <v>54</v>
      </c>
      <c r="L69" s="81" t="s">
        <v>177</v>
      </c>
      <c r="M69" s="10" t="s">
        <v>54</v>
      </c>
      <c r="N69" s="81" t="s">
        <v>177</v>
      </c>
      <c r="O69" s="9"/>
      <c r="P69" s="11">
        <v>23</v>
      </c>
      <c r="Q69" s="7"/>
      <c r="R69" s="1"/>
    </row>
    <row r="70" spans="1:18" ht="68">
      <c r="A70" s="1"/>
      <c r="B70" s="6"/>
      <c r="C70" s="11">
        <f>SUBTOTAL(103,$D$4:D70)</f>
        <v>67</v>
      </c>
      <c r="D70" s="9" t="s">
        <v>1411</v>
      </c>
      <c r="E70" s="12" t="s">
        <v>91</v>
      </c>
      <c r="F70" s="10" t="s">
        <v>8</v>
      </c>
      <c r="G70" s="12" t="s">
        <v>55</v>
      </c>
      <c r="H70" s="80" t="s">
        <v>10</v>
      </c>
      <c r="I70" s="10" t="s">
        <v>54</v>
      </c>
      <c r="J70" s="12" t="s">
        <v>9</v>
      </c>
      <c r="K70" s="10" t="s">
        <v>54</v>
      </c>
      <c r="L70" s="81" t="s">
        <v>177</v>
      </c>
      <c r="M70" s="10" t="s">
        <v>54</v>
      </c>
      <c r="N70" s="81" t="s">
        <v>177</v>
      </c>
      <c r="O70" s="9"/>
      <c r="P70" s="11">
        <v>24</v>
      </c>
      <c r="Q70" s="7"/>
      <c r="R70" s="1"/>
    </row>
    <row r="71" spans="1:18" ht="119">
      <c r="A71" s="1"/>
      <c r="B71" s="6"/>
      <c r="C71" s="11">
        <f>SUBTOTAL(103,$D$4:D71)</f>
        <v>68</v>
      </c>
      <c r="D71" s="9" t="s">
        <v>1411</v>
      </c>
      <c r="E71" s="12" t="s">
        <v>92</v>
      </c>
      <c r="F71" s="10" t="s">
        <v>12</v>
      </c>
      <c r="G71" s="12" t="s">
        <v>55</v>
      </c>
      <c r="H71" s="80" t="s">
        <v>93</v>
      </c>
      <c r="I71" s="12" t="s">
        <v>55</v>
      </c>
      <c r="J71" s="80" t="s">
        <v>94</v>
      </c>
      <c r="K71" s="12" t="s">
        <v>55</v>
      </c>
      <c r="L71" s="12" t="s">
        <v>95</v>
      </c>
      <c r="M71" s="12" t="s">
        <v>55</v>
      </c>
      <c r="N71" s="80" t="s">
        <v>96</v>
      </c>
      <c r="O71" s="9"/>
      <c r="P71" s="11">
        <v>25</v>
      </c>
      <c r="Q71" s="7"/>
      <c r="R71" s="1"/>
    </row>
    <row r="72" spans="1:18" ht="119">
      <c r="A72" s="1"/>
      <c r="B72" s="6"/>
      <c r="C72" s="11">
        <f>SUBTOTAL(103,$D$4:D72)</f>
        <v>69</v>
      </c>
      <c r="D72" s="9" t="s">
        <v>1411</v>
      </c>
      <c r="E72" s="12" t="s">
        <v>97</v>
      </c>
      <c r="F72" s="10" t="s">
        <v>12</v>
      </c>
      <c r="G72" s="12" t="s">
        <v>55</v>
      </c>
      <c r="H72" s="80" t="s">
        <v>99</v>
      </c>
      <c r="I72" s="10" t="s">
        <v>54</v>
      </c>
      <c r="J72" s="12" t="s">
        <v>100</v>
      </c>
      <c r="K72" s="12" t="s">
        <v>55</v>
      </c>
      <c r="L72" s="12" t="s">
        <v>101</v>
      </c>
      <c r="M72" s="10" t="s">
        <v>54</v>
      </c>
      <c r="N72" s="80" t="s">
        <v>102</v>
      </c>
      <c r="O72" s="9"/>
      <c r="P72" s="11">
        <v>26</v>
      </c>
      <c r="Q72" s="7"/>
      <c r="R72" s="1"/>
    </row>
    <row r="73" spans="1:18" ht="119">
      <c r="A73" s="1"/>
      <c r="B73" s="6"/>
      <c r="C73" s="11">
        <f>SUBTOTAL(103,$D$4:D73)</f>
        <v>70</v>
      </c>
      <c r="D73" s="9" t="s">
        <v>1411</v>
      </c>
      <c r="E73" s="12" t="s">
        <v>98</v>
      </c>
      <c r="F73" s="10" t="s">
        <v>12</v>
      </c>
      <c r="G73" s="10" t="s">
        <v>54</v>
      </c>
      <c r="H73" s="80" t="s">
        <v>99</v>
      </c>
      <c r="I73" s="12" t="s">
        <v>55</v>
      </c>
      <c r="J73" s="12" t="s">
        <v>100</v>
      </c>
      <c r="K73" s="10" t="s">
        <v>54</v>
      </c>
      <c r="L73" s="12" t="s">
        <v>103</v>
      </c>
      <c r="M73" s="12" t="s">
        <v>55</v>
      </c>
      <c r="N73" s="80" t="s">
        <v>102</v>
      </c>
      <c r="O73" s="9"/>
      <c r="P73" s="11">
        <v>27</v>
      </c>
      <c r="Q73" s="7"/>
      <c r="R73" s="1"/>
    </row>
    <row r="74" spans="1:18" ht="51">
      <c r="A74" s="1"/>
      <c r="B74" s="6"/>
      <c r="C74" s="11">
        <f>SUBTOTAL(103,$D$4:D74)</f>
        <v>71</v>
      </c>
      <c r="D74" s="9" t="s">
        <v>1411</v>
      </c>
      <c r="E74" s="12" t="s">
        <v>104</v>
      </c>
      <c r="F74" s="10" t="s">
        <v>22</v>
      </c>
      <c r="G74" s="10" t="s">
        <v>54</v>
      </c>
      <c r="H74" s="13" t="s">
        <v>110</v>
      </c>
      <c r="I74" s="10" t="s">
        <v>54</v>
      </c>
      <c r="J74" s="83" t="s">
        <v>111</v>
      </c>
      <c r="K74" s="12" t="s">
        <v>55</v>
      </c>
      <c r="L74" s="83" t="s">
        <v>112</v>
      </c>
      <c r="M74" s="10" t="s">
        <v>54</v>
      </c>
      <c r="N74" s="13" t="s">
        <v>113</v>
      </c>
      <c r="O74" s="9"/>
      <c r="P74" s="11">
        <v>28</v>
      </c>
      <c r="Q74" s="7"/>
      <c r="R74" s="1"/>
    </row>
    <row r="75" spans="1:18" ht="136">
      <c r="A75" s="1"/>
      <c r="B75" s="6"/>
      <c r="C75" s="11">
        <f>SUBTOTAL(103,$D$4:D75)</f>
        <v>72</v>
      </c>
      <c r="D75" s="9" t="s">
        <v>1411</v>
      </c>
      <c r="E75" s="12" t="s">
        <v>105</v>
      </c>
      <c r="F75" s="10" t="s">
        <v>22</v>
      </c>
      <c r="G75" s="10" t="s">
        <v>54</v>
      </c>
      <c r="H75" s="80" t="s">
        <v>114</v>
      </c>
      <c r="I75" s="10" t="s">
        <v>54</v>
      </c>
      <c r="J75" s="12" t="s">
        <v>115</v>
      </c>
      <c r="K75" s="12" t="s">
        <v>55</v>
      </c>
      <c r="L75" s="12" t="s">
        <v>116</v>
      </c>
      <c r="M75" s="10" t="s">
        <v>54</v>
      </c>
      <c r="N75" s="80" t="s">
        <v>117</v>
      </c>
      <c r="O75" s="9" t="s">
        <v>1851</v>
      </c>
      <c r="P75" s="11">
        <v>29</v>
      </c>
      <c r="Q75" s="7"/>
      <c r="R75" s="1"/>
    </row>
    <row r="76" spans="1:18" ht="34">
      <c r="A76" s="1"/>
      <c r="B76" s="6"/>
      <c r="C76" s="11">
        <f>SUBTOTAL(103,$D$4:D76)</f>
        <v>73</v>
      </c>
      <c r="D76" s="9" t="s">
        <v>1411</v>
      </c>
      <c r="E76" s="12" t="s">
        <v>106</v>
      </c>
      <c r="F76" s="10" t="s">
        <v>22</v>
      </c>
      <c r="G76" s="10" t="s">
        <v>54</v>
      </c>
      <c r="H76" s="80" t="s">
        <v>118</v>
      </c>
      <c r="I76" s="12" t="s">
        <v>55</v>
      </c>
      <c r="J76" s="12" t="s">
        <v>119</v>
      </c>
      <c r="K76" s="10" t="s">
        <v>54</v>
      </c>
      <c r="L76" s="12" t="s">
        <v>120</v>
      </c>
      <c r="M76" s="10" t="s">
        <v>54</v>
      </c>
      <c r="N76" s="80" t="s">
        <v>801</v>
      </c>
      <c r="O76" s="9"/>
      <c r="P76" s="11">
        <v>30</v>
      </c>
      <c r="Q76" s="7"/>
      <c r="R76" s="1"/>
    </row>
    <row r="77" spans="1:18" ht="51">
      <c r="A77" s="1"/>
      <c r="B77" s="6"/>
      <c r="C77" s="11">
        <f>SUBTOTAL(103,$D$4:D77)</f>
        <v>74</v>
      </c>
      <c r="D77" s="9" t="s">
        <v>1411</v>
      </c>
      <c r="E77" s="12" t="s">
        <v>107</v>
      </c>
      <c r="F77" s="10" t="s">
        <v>22</v>
      </c>
      <c r="G77" s="10" t="s">
        <v>54</v>
      </c>
      <c r="H77" s="80" t="s">
        <v>121</v>
      </c>
      <c r="I77" s="10" t="s">
        <v>54</v>
      </c>
      <c r="J77" s="12" t="s">
        <v>122</v>
      </c>
      <c r="K77" s="12" t="s">
        <v>55</v>
      </c>
      <c r="L77" s="12" t="s">
        <v>123</v>
      </c>
      <c r="M77" s="10" t="s">
        <v>54</v>
      </c>
      <c r="N77" s="80" t="s">
        <v>124</v>
      </c>
      <c r="O77" s="9"/>
      <c r="P77" s="11">
        <v>31</v>
      </c>
      <c r="Q77" s="7"/>
      <c r="R77" s="1"/>
    </row>
    <row r="78" spans="1:18" ht="68">
      <c r="A78" s="1"/>
      <c r="B78" s="6"/>
      <c r="C78" s="11">
        <f>SUBTOTAL(103,$D$4:D78)</f>
        <v>75</v>
      </c>
      <c r="D78" s="9" t="s">
        <v>1411</v>
      </c>
      <c r="E78" s="12" t="s">
        <v>108</v>
      </c>
      <c r="F78" s="10" t="s">
        <v>22</v>
      </c>
      <c r="G78" s="10" t="s">
        <v>54</v>
      </c>
      <c r="H78" s="80" t="s">
        <v>125</v>
      </c>
      <c r="I78" s="10" t="s">
        <v>54</v>
      </c>
      <c r="J78" s="12" t="s">
        <v>126</v>
      </c>
      <c r="K78" s="12" t="s">
        <v>55</v>
      </c>
      <c r="L78" s="12" t="s">
        <v>127</v>
      </c>
      <c r="M78" s="10" t="s">
        <v>54</v>
      </c>
      <c r="N78" s="80" t="s">
        <v>128</v>
      </c>
      <c r="O78" s="9"/>
      <c r="P78" s="11">
        <v>32</v>
      </c>
      <c r="Q78" s="7"/>
      <c r="R78" s="1"/>
    </row>
    <row r="79" spans="1:18" ht="51">
      <c r="A79" s="1"/>
      <c r="B79" s="6"/>
      <c r="C79" s="11">
        <f>SUBTOTAL(103,$D$4:D79)</f>
        <v>76</v>
      </c>
      <c r="D79" s="9" t="s">
        <v>1411</v>
      </c>
      <c r="E79" s="12" t="s">
        <v>109</v>
      </c>
      <c r="F79" s="10" t="s">
        <v>22</v>
      </c>
      <c r="G79" s="10" t="s">
        <v>54</v>
      </c>
      <c r="H79" s="80" t="s">
        <v>129</v>
      </c>
      <c r="I79" s="12" t="s">
        <v>55</v>
      </c>
      <c r="J79" s="12" t="s">
        <v>130</v>
      </c>
      <c r="K79" s="10" t="s">
        <v>54</v>
      </c>
      <c r="L79" s="12" t="s">
        <v>131</v>
      </c>
      <c r="M79" s="10" t="s">
        <v>54</v>
      </c>
      <c r="N79" s="80" t="s">
        <v>132</v>
      </c>
      <c r="O79" s="9"/>
      <c r="P79" s="11">
        <v>33</v>
      </c>
      <c r="Q79" s="7"/>
      <c r="R79" s="1"/>
    </row>
    <row r="80" spans="1:18" ht="51">
      <c r="A80" s="1"/>
      <c r="B80" s="6"/>
      <c r="C80" s="11">
        <f>SUBTOTAL(103,$D$4:D80)</f>
        <v>77</v>
      </c>
      <c r="D80" s="9" t="s">
        <v>1411</v>
      </c>
      <c r="E80" s="12" t="s">
        <v>255</v>
      </c>
      <c r="F80" s="10" t="s">
        <v>8</v>
      </c>
      <c r="G80" s="10" t="s">
        <v>54</v>
      </c>
      <c r="H80" s="80" t="s">
        <v>10</v>
      </c>
      <c r="I80" s="12" t="s">
        <v>55</v>
      </c>
      <c r="J80" s="12" t="s">
        <v>9</v>
      </c>
      <c r="K80" s="10" t="s">
        <v>54</v>
      </c>
      <c r="L80" s="81" t="s">
        <v>177</v>
      </c>
      <c r="M80" s="10" t="s">
        <v>54</v>
      </c>
      <c r="N80" s="81" t="s">
        <v>177</v>
      </c>
      <c r="O80" s="9" t="s">
        <v>256</v>
      </c>
      <c r="P80" s="9"/>
      <c r="Q80" s="7"/>
      <c r="R80" s="1"/>
    </row>
    <row r="81" spans="1:18" ht="51">
      <c r="A81" s="1"/>
      <c r="B81" s="6"/>
      <c r="C81" s="11">
        <f>SUBTOTAL(103,$D$4:D81)</f>
        <v>78</v>
      </c>
      <c r="D81" s="9" t="s">
        <v>1411</v>
      </c>
      <c r="E81" s="12" t="s">
        <v>257</v>
      </c>
      <c r="F81" s="10" t="s">
        <v>8</v>
      </c>
      <c r="G81" s="12" t="s">
        <v>55</v>
      </c>
      <c r="H81" s="80" t="s">
        <v>10</v>
      </c>
      <c r="I81" s="9" t="s">
        <v>54</v>
      </c>
      <c r="J81" s="12" t="s">
        <v>9</v>
      </c>
      <c r="K81" s="10" t="s">
        <v>54</v>
      </c>
      <c r="L81" s="81" t="s">
        <v>177</v>
      </c>
      <c r="M81" s="10" t="s">
        <v>54</v>
      </c>
      <c r="N81" s="81" t="s">
        <v>177</v>
      </c>
      <c r="O81" s="9"/>
      <c r="P81" s="9"/>
      <c r="Q81" s="7"/>
      <c r="R81" s="1"/>
    </row>
    <row r="82" spans="1:18" ht="51">
      <c r="A82" s="1"/>
      <c r="B82" s="6"/>
      <c r="C82" s="11">
        <f>SUBTOTAL(103,$D$4:D82)</f>
        <v>79</v>
      </c>
      <c r="D82" s="9" t="s">
        <v>1411</v>
      </c>
      <c r="E82" s="12" t="s">
        <v>258</v>
      </c>
      <c r="F82" s="10" t="s">
        <v>8</v>
      </c>
      <c r="G82" s="10" t="s">
        <v>54</v>
      </c>
      <c r="H82" s="80" t="s">
        <v>10</v>
      </c>
      <c r="I82" s="12" t="s">
        <v>55</v>
      </c>
      <c r="J82" s="12" t="s">
        <v>9</v>
      </c>
      <c r="K82" s="10" t="s">
        <v>54</v>
      </c>
      <c r="L82" s="81" t="s">
        <v>177</v>
      </c>
      <c r="M82" s="10" t="s">
        <v>54</v>
      </c>
      <c r="N82" s="81" t="s">
        <v>177</v>
      </c>
      <c r="O82" s="9" t="s">
        <v>259</v>
      </c>
      <c r="P82" s="9"/>
      <c r="Q82" s="7"/>
      <c r="R82" s="1"/>
    </row>
    <row r="83" spans="1:18" ht="85">
      <c r="A83" s="1"/>
      <c r="B83" s="6"/>
      <c r="C83" s="11">
        <f>SUBTOTAL(103,$D$4:D83)</f>
        <v>80</v>
      </c>
      <c r="D83" s="9" t="s">
        <v>1411</v>
      </c>
      <c r="E83" s="12" t="s">
        <v>260</v>
      </c>
      <c r="F83" s="10" t="s">
        <v>8</v>
      </c>
      <c r="G83" s="12" t="s">
        <v>55</v>
      </c>
      <c r="H83" s="80" t="s">
        <v>10</v>
      </c>
      <c r="I83" s="9" t="s">
        <v>54</v>
      </c>
      <c r="J83" s="12" t="s">
        <v>9</v>
      </c>
      <c r="K83" s="10" t="s">
        <v>54</v>
      </c>
      <c r="L83" s="81" t="s">
        <v>177</v>
      </c>
      <c r="M83" s="10" t="s">
        <v>54</v>
      </c>
      <c r="N83" s="81" t="s">
        <v>177</v>
      </c>
      <c r="O83" s="9"/>
      <c r="P83" s="9"/>
      <c r="Q83" s="7"/>
      <c r="R83" s="1"/>
    </row>
    <row r="84" spans="1:18" ht="170">
      <c r="A84" s="1"/>
      <c r="B84" s="6"/>
      <c r="C84" s="11">
        <f>SUBTOTAL(103,$D$4:D84)</f>
        <v>81</v>
      </c>
      <c r="D84" s="9" t="s">
        <v>1412</v>
      </c>
      <c r="E84" s="12" t="s">
        <v>190</v>
      </c>
      <c r="F84" s="10" t="s">
        <v>22</v>
      </c>
      <c r="G84" s="12" t="s">
        <v>55</v>
      </c>
      <c r="H84" s="80" t="s">
        <v>191</v>
      </c>
      <c r="I84" s="10" t="s">
        <v>54</v>
      </c>
      <c r="J84" s="12" t="s">
        <v>192</v>
      </c>
      <c r="K84" s="10" t="s">
        <v>54</v>
      </c>
      <c r="L84" s="12" t="s">
        <v>193</v>
      </c>
      <c r="M84" s="10" t="s">
        <v>54</v>
      </c>
      <c r="N84" s="80" t="s">
        <v>194</v>
      </c>
      <c r="O84" s="9"/>
      <c r="P84" s="9"/>
      <c r="Q84" s="7"/>
      <c r="R84" s="1"/>
    </row>
    <row r="85" spans="1:18" ht="51">
      <c r="A85" s="1"/>
      <c r="B85" s="6"/>
      <c r="C85" s="11">
        <f>SUBTOTAL(103,$D$4:D85)</f>
        <v>82</v>
      </c>
      <c r="D85" s="9" t="s">
        <v>1412</v>
      </c>
      <c r="E85" s="12" t="s">
        <v>195</v>
      </c>
      <c r="F85" s="10" t="s">
        <v>8</v>
      </c>
      <c r="G85" s="12" t="s">
        <v>55</v>
      </c>
      <c r="H85" s="80" t="s">
        <v>10</v>
      </c>
      <c r="I85" s="9" t="s">
        <v>54</v>
      </c>
      <c r="J85" s="12" t="s">
        <v>9</v>
      </c>
      <c r="K85" s="10" t="s">
        <v>54</v>
      </c>
      <c r="L85" s="81" t="s">
        <v>177</v>
      </c>
      <c r="M85" s="10" t="s">
        <v>54</v>
      </c>
      <c r="N85" s="81" t="s">
        <v>177</v>
      </c>
      <c r="O85" s="9"/>
      <c r="P85" s="9"/>
      <c r="Q85" s="7"/>
      <c r="R85" s="1"/>
    </row>
    <row r="86" spans="1:18" ht="119">
      <c r="A86" s="1"/>
      <c r="B86" s="6"/>
      <c r="C86" s="11">
        <f>SUBTOTAL(103,$D$4:D86)</f>
        <v>83</v>
      </c>
      <c r="D86" s="9" t="s">
        <v>1412</v>
      </c>
      <c r="E86" s="12" t="s">
        <v>196</v>
      </c>
      <c r="F86" s="10" t="s">
        <v>12</v>
      </c>
      <c r="G86" s="10" t="s">
        <v>54</v>
      </c>
      <c r="H86" s="80" t="s">
        <v>197</v>
      </c>
      <c r="I86" s="12" t="s">
        <v>55</v>
      </c>
      <c r="J86" s="80" t="s">
        <v>1852</v>
      </c>
      <c r="K86" s="12" t="s">
        <v>55</v>
      </c>
      <c r="L86" s="12" t="s">
        <v>198</v>
      </c>
      <c r="M86" s="10" t="s">
        <v>54</v>
      </c>
      <c r="N86" s="80" t="s">
        <v>199</v>
      </c>
      <c r="O86" s="9"/>
      <c r="P86" s="9"/>
      <c r="Q86" s="7"/>
      <c r="R86" s="1"/>
    </row>
    <row r="87" spans="1:18" ht="68">
      <c r="A87" s="1"/>
      <c r="B87" s="6"/>
      <c r="C87" s="11">
        <f>SUBTOTAL(103,$D$4:D87)</f>
        <v>84</v>
      </c>
      <c r="D87" s="9" t="s">
        <v>1412</v>
      </c>
      <c r="E87" s="12" t="s">
        <v>200</v>
      </c>
      <c r="F87" s="10" t="s">
        <v>22</v>
      </c>
      <c r="G87" s="10" t="s">
        <v>54</v>
      </c>
      <c r="H87" s="80" t="s">
        <v>201</v>
      </c>
      <c r="I87" s="12" t="s">
        <v>55</v>
      </c>
      <c r="J87" s="12" t="s">
        <v>202</v>
      </c>
      <c r="K87" s="10" t="s">
        <v>54</v>
      </c>
      <c r="L87" s="12" t="s">
        <v>177</v>
      </c>
      <c r="M87" s="10" t="s">
        <v>54</v>
      </c>
      <c r="N87" s="80" t="s">
        <v>177</v>
      </c>
      <c r="O87" s="9"/>
      <c r="P87" s="9"/>
      <c r="Q87" s="7"/>
      <c r="R87" s="1"/>
    </row>
    <row r="88" spans="1:18" ht="51">
      <c r="A88" s="1"/>
      <c r="B88" s="6"/>
      <c r="C88" s="11">
        <f>SUBTOTAL(103,$D$4:D88)</f>
        <v>85</v>
      </c>
      <c r="D88" s="9" t="s">
        <v>1412</v>
      </c>
      <c r="E88" s="12" t="s">
        <v>203</v>
      </c>
      <c r="F88" s="10" t="s">
        <v>8</v>
      </c>
      <c r="G88" s="12" t="s">
        <v>55</v>
      </c>
      <c r="H88" s="80" t="s">
        <v>10</v>
      </c>
      <c r="I88" s="9" t="s">
        <v>54</v>
      </c>
      <c r="J88" s="12" t="s">
        <v>9</v>
      </c>
      <c r="K88" s="10" t="s">
        <v>54</v>
      </c>
      <c r="L88" s="81" t="s">
        <v>177</v>
      </c>
      <c r="M88" s="10" t="s">
        <v>54</v>
      </c>
      <c r="N88" s="81" t="s">
        <v>177</v>
      </c>
      <c r="O88" s="9"/>
      <c r="P88" s="9"/>
      <c r="Q88" s="7"/>
      <c r="R88" s="1"/>
    </row>
    <row r="89" spans="1:18" ht="51">
      <c r="A89" s="1"/>
      <c r="B89" s="6"/>
      <c r="C89" s="11">
        <f>SUBTOTAL(103,$D$4:D89)</f>
        <v>86</v>
      </c>
      <c r="D89" s="9" t="s">
        <v>1412</v>
      </c>
      <c r="E89" s="12" t="s">
        <v>204</v>
      </c>
      <c r="F89" s="10" t="s">
        <v>8</v>
      </c>
      <c r="G89" s="12" t="s">
        <v>55</v>
      </c>
      <c r="H89" s="80" t="s">
        <v>10</v>
      </c>
      <c r="I89" s="9" t="s">
        <v>54</v>
      </c>
      <c r="J89" s="12" t="s">
        <v>9</v>
      </c>
      <c r="K89" s="10" t="s">
        <v>54</v>
      </c>
      <c r="L89" s="81" t="s">
        <v>177</v>
      </c>
      <c r="M89" s="10" t="s">
        <v>54</v>
      </c>
      <c r="N89" s="81" t="s">
        <v>177</v>
      </c>
      <c r="O89" s="9" t="s">
        <v>205</v>
      </c>
      <c r="P89" s="9"/>
      <c r="Q89" s="7"/>
      <c r="R89" s="1"/>
    </row>
    <row r="90" spans="1:18" ht="51">
      <c r="A90" s="1"/>
      <c r="B90" s="6"/>
      <c r="C90" s="11">
        <f>SUBTOTAL(103,$D$4:D90)</f>
        <v>87</v>
      </c>
      <c r="D90" s="9" t="s">
        <v>1412</v>
      </c>
      <c r="E90" s="12" t="s">
        <v>206</v>
      </c>
      <c r="F90" s="10" t="s">
        <v>22</v>
      </c>
      <c r="G90" s="10" t="s">
        <v>54</v>
      </c>
      <c r="H90" s="80" t="s">
        <v>207</v>
      </c>
      <c r="I90" s="12" t="s">
        <v>55</v>
      </c>
      <c r="J90" s="12" t="s">
        <v>208</v>
      </c>
      <c r="K90" s="10" t="s">
        <v>54</v>
      </c>
      <c r="L90" s="12" t="s">
        <v>209</v>
      </c>
      <c r="M90" s="10" t="s">
        <v>54</v>
      </c>
      <c r="N90" s="80" t="s">
        <v>210</v>
      </c>
      <c r="O90" s="9" t="s">
        <v>211</v>
      </c>
      <c r="P90" s="9"/>
      <c r="Q90" s="7"/>
      <c r="R90" s="1"/>
    </row>
    <row r="91" spans="1:18" ht="51">
      <c r="A91" s="1"/>
      <c r="B91" s="6"/>
      <c r="C91" s="11">
        <f>SUBTOTAL(103,$D$4:D91)</f>
        <v>88</v>
      </c>
      <c r="D91" s="9" t="s">
        <v>1412</v>
      </c>
      <c r="E91" s="12" t="s">
        <v>212</v>
      </c>
      <c r="F91" s="10" t="s">
        <v>8</v>
      </c>
      <c r="G91" s="9" t="s">
        <v>54</v>
      </c>
      <c r="H91" s="80" t="s">
        <v>10</v>
      </c>
      <c r="I91" s="12" t="s">
        <v>55</v>
      </c>
      <c r="J91" s="12" t="s">
        <v>9</v>
      </c>
      <c r="K91" s="10" t="s">
        <v>54</v>
      </c>
      <c r="L91" s="81" t="s">
        <v>177</v>
      </c>
      <c r="M91" s="10" t="s">
        <v>54</v>
      </c>
      <c r="N91" s="81" t="s">
        <v>177</v>
      </c>
      <c r="O91" s="9"/>
      <c r="P91" s="9"/>
      <c r="Q91" s="7"/>
      <c r="R91" s="1"/>
    </row>
    <row r="92" spans="1:18" ht="119">
      <c r="A92" s="1"/>
      <c r="B92" s="6"/>
      <c r="C92" s="11">
        <f>SUBTOTAL(103,$D$4:D92)</f>
        <v>89</v>
      </c>
      <c r="D92" s="9" t="s">
        <v>1412</v>
      </c>
      <c r="E92" s="12" t="s">
        <v>213</v>
      </c>
      <c r="F92" s="10" t="s">
        <v>22</v>
      </c>
      <c r="G92" s="10" t="s">
        <v>54</v>
      </c>
      <c r="H92" s="80" t="s">
        <v>215</v>
      </c>
      <c r="I92" s="10" t="s">
        <v>54</v>
      </c>
      <c r="J92" s="80" t="s">
        <v>216</v>
      </c>
      <c r="K92" s="10" t="s">
        <v>54</v>
      </c>
      <c r="L92" s="80" t="s">
        <v>217</v>
      </c>
      <c r="M92" s="12" t="s">
        <v>55</v>
      </c>
      <c r="N92" s="80" t="s">
        <v>218</v>
      </c>
      <c r="O92" s="9" t="s">
        <v>214</v>
      </c>
      <c r="P92" s="9"/>
      <c r="Q92" s="7"/>
      <c r="R92" s="1"/>
    </row>
    <row r="93" spans="1:18" ht="102">
      <c r="A93" s="1"/>
      <c r="B93" s="6"/>
      <c r="C93" s="11">
        <f>SUBTOTAL(103,$D$4:D93)</f>
        <v>90</v>
      </c>
      <c r="D93" s="9" t="s">
        <v>1412</v>
      </c>
      <c r="E93" s="12" t="s">
        <v>219</v>
      </c>
      <c r="F93" s="10" t="s">
        <v>22</v>
      </c>
      <c r="G93" s="12" t="s">
        <v>55</v>
      </c>
      <c r="H93" s="80" t="s">
        <v>221</v>
      </c>
      <c r="I93" s="10" t="s">
        <v>54</v>
      </c>
      <c r="J93" s="80" t="s">
        <v>222</v>
      </c>
      <c r="K93" s="10" t="s">
        <v>54</v>
      </c>
      <c r="L93" s="81" t="s">
        <v>223</v>
      </c>
      <c r="M93" s="10" t="s">
        <v>54</v>
      </c>
      <c r="N93" s="81" t="s">
        <v>224</v>
      </c>
      <c r="O93" s="9" t="s">
        <v>220</v>
      </c>
      <c r="P93" s="9"/>
      <c r="Q93" s="7"/>
      <c r="R93" s="1"/>
    </row>
    <row r="94" spans="1:18" ht="68">
      <c r="A94" s="1"/>
      <c r="B94" s="6"/>
      <c r="C94" s="11">
        <f>SUBTOTAL(103,$D$4:D94)</f>
        <v>91</v>
      </c>
      <c r="D94" s="9" t="s">
        <v>1412</v>
      </c>
      <c r="E94" s="12" t="s">
        <v>261</v>
      </c>
      <c r="F94" s="10" t="s">
        <v>8</v>
      </c>
      <c r="G94" s="10" t="s">
        <v>54</v>
      </c>
      <c r="H94" s="80" t="s">
        <v>10</v>
      </c>
      <c r="I94" s="12" t="s">
        <v>55</v>
      </c>
      <c r="J94" s="12" t="s">
        <v>9</v>
      </c>
      <c r="K94" s="10" t="s">
        <v>54</v>
      </c>
      <c r="L94" s="81" t="s">
        <v>177</v>
      </c>
      <c r="M94" s="10" t="s">
        <v>54</v>
      </c>
      <c r="N94" s="81" t="s">
        <v>177</v>
      </c>
      <c r="O94" s="9"/>
      <c r="P94" s="11">
        <v>34</v>
      </c>
      <c r="Q94" s="7"/>
      <c r="R94" s="1"/>
    </row>
    <row r="95" spans="1:18" ht="34">
      <c r="A95" s="1"/>
      <c r="B95" s="6"/>
      <c r="C95" s="11">
        <f>SUBTOTAL(103,$D$4:D95)</f>
        <v>92</v>
      </c>
      <c r="D95" s="9" t="s">
        <v>1412</v>
      </c>
      <c r="E95" s="12" t="s">
        <v>262</v>
      </c>
      <c r="F95" s="10" t="s">
        <v>8</v>
      </c>
      <c r="G95" s="12" t="s">
        <v>55</v>
      </c>
      <c r="H95" s="80" t="s">
        <v>10</v>
      </c>
      <c r="I95" s="10" t="s">
        <v>54</v>
      </c>
      <c r="J95" s="12" t="s">
        <v>9</v>
      </c>
      <c r="K95" s="10" t="s">
        <v>54</v>
      </c>
      <c r="L95" s="81" t="s">
        <v>177</v>
      </c>
      <c r="M95" s="10" t="s">
        <v>54</v>
      </c>
      <c r="N95" s="81" t="s">
        <v>177</v>
      </c>
      <c r="O95" s="9"/>
      <c r="P95" s="11">
        <v>35</v>
      </c>
      <c r="Q95" s="7"/>
      <c r="R95" s="1"/>
    </row>
    <row r="96" spans="1:18" ht="34">
      <c r="A96" s="1"/>
      <c r="B96" s="6"/>
      <c r="C96" s="11">
        <f>SUBTOTAL(103,$D$4:D96)</f>
        <v>93</v>
      </c>
      <c r="D96" s="9" t="s">
        <v>1412</v>
      </c>
      <c r="E96" s="12" t="s">
        <v>263</v>
      </c>
      <c r="F96" s="10" t="s">
        <v>8</v>
      </c>
      <c r="G96" s="10" t="s">
        <v>54</v>
      </c>
      <c r="H96" s="80" t="s">
        <v>10</v>
      </c>
      <c r="I96" s="12" t="s">
        <v>55</v>
      </c>
      <c r="J96" s="12" t="s">
        <v>9</v>
      </c>
      <c r="K96" s="10" t="s">
        <v>54</v>
      </c>
      <c r="L96" s="81" t="s">
        <v>177</v>
      </c>
      <c r="M96" s="10" t="s">
        <v>54</v>
      </c>
      <c r="N96" s="81" t="s">
        <v>177</v>
      </c>
      <c r="O96" s="9"/>
      <c r="P96" s="11">
        <v>36</v>
      </c>
      <c r="Q96" s="7"/>
      <c r="R96" s="1"/>
    </row>
    <row r="97" spans="1:18" ht="34">
      <c r="A97" s="1"/>
      <c r="B97" s="6"/>
      <c r="C97" s="11">
        <f>SUBTOTAL(103,$D$4:D97)</f>
        <v>94</v>
      </c>
      <c r="D97" s="9" t="s">
        <v>1412</v>
      </c>
      <c r="E97" s="12" t="s">
        <v>264</v>
      </c>
      <c r="F97" s="10" t="s">
        <v>8</v>
      </c>
      <c r="G97" s="10" t="s">
        <v>54</v>
      </c>
      <c r="H97" s="80" t="s">
        <v>10</v>
      </c>
      <c r="I97" s="12" t="s">
        <v>55</v>
      </c>
      <c r="J97" s="12" t="s">
        <v>9</v>
      </c>
      <c r="K97" s="10" t="s">
        <v>54</v>
      </c>
      <c r="L97" s="81" t="s">
        <v>177</v>
      </c>
      <c r="M97" s="10" t="s">
        <v>54</v>
      </c>
      <c r="N97" s="81" t="s">
        <v>177</v>
      </c>
      <c r="O97" s="9"/>
      <c r="P97" s="11">
        <v>37</v>
      </c>
      <c r="Q97" s="7"/>
      <c r="R97" s="1"/>
    </row>
    <row r="98" spans="1:18" ht="51">
      <c r="A98" s="1"/>
      <c r="B98" s="6"/>
      <c r="C98" s="11">
        <f>SUBTOTAL(103,$D$4:D98)</f>
        <v>95</v>
      </c>
      <c r="D98" s="9" t="s">
        <v>1412</v>
      </c>
      <c r="E98" s="12" t="s">
        <v>265</v>
      </c>
      <c r="F98" s="10" t="s">
        <v>8</v>
      </c>
      <c r="G98" s="10" t="s">
        <v>54</v>
      </c>
      <c r="H98" s="80" t="s">
        <v>10</v>
      </c>
      <c r="I98" s="12" t="s">
        <v>55</v>
      </c>
      <c r="J98" s="12" t="s">
        <v>9</v>
      </c>
      <c r="K98" s="10" t="s">
        <v>54</v>
      </c>
      <c r="L98" s="81" t="s">
        <v>177</v>
      </c>
      <c r="M98" s="10" t="s">
        <v>54</v>
      </c>
      <c r="N98" s="81" t="s">
        <v>177</v>
      </c>
      <c r="O98" s="9"/>
      <c r="P98" s="11">
        <v>38</v>
      </c>
      <c r="Q98" s="7"/>
      <c r="R98" s="1"/>
    </row>
    <row r="99" spans="1:18" ht="68">
      <c r="A99" s="1"/>
      <c r="B99" s="6"/>
      <c r="C99" s="11">
        <f>SUBTOTAL(103,$D$4:D99)</f>
        <v>96</v>
      </c>
      <c r="D99" s="9" t="s">
        <v>1412</v>
      </c>
      <c r="E99" s="12" t="s">
        <v>266</v>
      </c>
      <c r="F99" s="10" t="s">
        <v>8</v>
      </c>
      <c r="G99" s="12" t="s">
        <v>55</v>
      </c>
      <c r="H99" s="80" t="s">
        <v>10</v>
      </c>
      <c r="I99" s="10" t="s">
        <v>54</v>
      </c>
      <c r="J99" s="12" t="s">
        <v>9</v>
      </c>
      <c r="K99" s="10" t="s">
        <v>54</v>
      </c>
      <c r="L99" s="81" t="s">
        <v>177</v>
      </c>
      <c r="M99" s="10" t="s">
        <v>54</v>
      </c>
      <c r="N99" s="81" t="s">
        <v>177</v>
      </c>
      <c r="O99" s="9"/>
      <c r="P99" s="11">
        <v>39</v>
      </c>
      <c r="Q99" s="7"/>
      <c r="R99" s="1"/>
    </row>
    <row r="100" spans="1:18" ht="51">
      <c r="A100" s="1"/>
      <c r="B100" s="6"/>
      <c r="C100" s="11">
        <f>SUBTOTAL(103,$D$4:D100)</f>
        <v>97</v>
      </c>
      <c r="D100" s="9" t="s">
        <v>1412</v>
      </c>
      <c r="E100" s="12" t="s">
        <v>267</v>
      </c>
      <c r="F100" s="10" t="s">
        <v>8</v>
      </c>
      <c r="G100" s="12" t="s">
        <v>55</v>
      </c>
      <c r="H100" s="80" t="s">
        <v>10</v>
      </c>
      <c r="I100" s="10" t="s">
        <v>54</v>
      </c>
      <c r="J100" s="12" t="s">
        <v>9</v>
      </c>
      <c r="K100" s="10" t="s">
        <v>54</v>
      </c>
      <c r="L100" s="81" t="s">
        <v>177</v>
      </c>
      <c r="M100" s="10" t="s">
        <v>54</v>
      </c>
      <c r="N100" s="81" t="s">
        <v>177</v>
      </c>
      <c r="O100" s="9"/>
      <c r="P100" s="11">
        <v>40</v>
      </c>
      <c r="Q100" s="7"/>
      <c r="R100" s="1"/>
    </row>
    <row r="101" spans="1:18" ht="85">
      <c r="A101" s="1"/>
      <c r="B101" s="6"/>
      <c r="C101" s="11">
        <f>SUBTOTAL(103,$D$4:D101)</f>
        <v>98</v>
      </c>
      <c r="D101" s="9" t="s">
        <v>1412</v>
      </c>
      <c r="E101" s="12" t="s">
        <v>268</v>
      </c>
      <c r="F101" s="10" t="s">
        <v>12</v>
      </c>
      <c r="G101" s="10" t="s">
        <v>54</v>
      </c>
      <c r="H101" s="80" t="s">
        <v>269</v>
      </c>
      <c r="I101" s="12" t="s">
        <v>55</v>
      </c>
      <c r="J101" s="12" t="s">
        <v>270</v>
      </c>
      <c r="K101" s="12" t="s">
        <v>55</v>
      </c>
      <c r="L101" s="12" t="s">
        <v>825</v>
      </c>
      <c r="M101" s="12" t="s">
        <v>55</v>
      </c>
      <c r="N101" s="80" t="s">
        <v>737</v>
      </c>
      <c r="O101" s="9"/>
      <c r="P101" s="11">
        <v>41</v>
      </c>
      <c r="Q101" s="7"/>
      <c r="R101" s="1"/>
    </row>
    <row r="102" spans="1:18" ht="153">
      <c r="A102" s="1"/>
      <c r="B102" s="6"/>
      <c r="C102" s="11">
        <f>SUBTOTAL(103,$D$4:D102)</f>
        <v>99</v>
      </c>
      <c r="D102" s="9" t="s">
        <v>1412</v>
      </c>
      <c r="E102" s="12" t="s">
        <v>271</v>
      </c>
      <c r="F102" s="10" t="s">
        <v>12</v>
      </c>
      <c r="G102" s="12" t="s">
        <v>55</v>
      </c>
      <c r="H102" s="80" t="s">
        <v>272</v>
      </c>
      <c r="I102" s="12" t="s">
        <v>55</v>
      </c>
      <c r="J102" s="12" t="s">
        <v>2279</v>
      </c>
      <c r="K102" s="10" t="s">
        <v>54</v>
      </c>
      <c r="L102" s="12" t="s">
        <v>2278</v>
      </c>
      <c r="M102" s="12" t="s">
        <v>55</v>
      </c>
      <c r="N102" s="80" t="s">
        <v>2280</v>
      </c>
      <c r="O102" s="9"/>
      <c r="P102" s="11">
        <v>42</v>
      </c>
      <c r="Q102" s="7"/>
      <c r="R102" s="1"/>
    </row>
    <row r="103" spans="1:18" ht="34">
      <c r="A103" s="1"/>
      <c r="B103" s="6"/>
      <c r="C103" s="11">
        <f>SUBTOTAL(103,$D$4:D103)</f>
        <v>100</v>
      </c>
      <c r="D103" s="9" t="s">
        <v>1412</v>
      </c>
      <c r="E103" s="12" t="s">
        <v>273</v>
      </c>
      <c r="F103" s="10" t="s">
        <v>22</v>
      </c>
      <c r="G103" s="12" t="s">
        <v>55</v>
      </c>
      <c r="H103" s="80" t="s">
        <v>274</v>
      </c>
      <c r="I103" s="10" t="s">
        <v>54</v>
      </c>
      <c r="J103" s="12" t="s">
        <v>275</v>
      </c>
      <c r="K103" s="10" t="s">
        <v>54</v>
      </c>
      <c r="L103" s="12" t="s">
        <v>826</v>
      </c>
      <c r="M103" s="10" t="s">
        <v>54</v>
      </c>
      <c r="N103" s="80" t="s">
        <v>738</v>
      </c>
      <c r="O103" s="9"/>
      <c r="P103" s="11">
        <v>43</v>
      </c>
      <c r="Q103" s="7"/>
      <c r="R103" s="1"/>
    </row>
    <row r="104" spans="1:18" ht="51">
      <c r="A104" s="1"/>
      <c r="B104" s="6"/>
      <c r="C104" s="11">
        <f>SUBTOTAL(103,$D$4:D104)</f>
        <v>101</v>
      </c>
      <c r="D104" s="9" t="s">
        <v>1412</v>
      </c>
      <c r="E104" s="12" t="s">
        <v>2277</v>
      </c>
      <c r="F104" s="10" t="s">
        <v>8</v>
      </c>
      <c r="G104" s="10" t="s">
        <v>54</v>
      </c>
      <c r="H104" s="80" t="s">
        <v>10</v>
      </c>
      <c r="I104" s="12" t="s">
        <v>55</v>
      </c>
      <c r="J104" s="12" t="s">
        <v>9</v>
      </c>
      <c r="K104" s="10" t="s">
        <v>54</v>
      </c>
      <c r="L104" s="81" t="s">
        <v>177</v>
      </c>
      <c r="M104" s="10" t="s">
        <v>54</v>
      </c>
      <c r="N104" s="81" t="s">
        <v>177</v>
      </c>
      <c r="O104" s="9"/>
      <c r="P104" s="11">
        <v>44</v>
      </c>
      <c r="Q104" s="7"/>
      <c r="R104" s="1"/>
    </row>
    <row r="105" spans="1:18" ht="34">
      <c r="A105" s="1"/>
      <c r="B105" s="6"/>
      <c r="C105" s="11">
        <f>SUBTOTAL(103,$D$4:D105)</f>
        <v>102</v>
      </c>
      <c r="D105" s="9" t="s">
        <v>1412</v>
      </c>
      <c r="E105" s="12" t="s">
        <v>276</v>
      </c>
      <c r="F105" s="10" t="s">
        <v>8</v>
      </c>
      <c r="G105" s="10" t="s">
        <v>54</v>
      </c>
      <c r="H105" s="80" t="s">
        <v>10</v>
      </c>
      <c r="I105" s="12" t="s">
        <v>55</v>
      </c>
      <c r="J105" s="12" t="s">
        <v>9</v>
      </c>
      <c r="K105" s="10" t="s">
        <v>54</v>
      </c>
      <c r="L105" s="81" t="s">
        <v>177</v>
      </c>
      <c r="M105" s="10" t="s">
        <v>54</v>
      </c>
      <c r="N105" s="81" t="s">
        <v>177</v>
      </c>
      <c r="O105" s="9"/>
      <c r="P105" s="11">
        <v>45</v>
      </c>
      <c r="Q105" s="7"/>
      <c r="R105" s="1"/>
    </row>
    <row r="106" spans="1:18" ht="51">
      <c r="A106" s="1"/>
      <c r="B106" s="6"/>
      <c r="C106" s="11">
        <f>SUBTOTAL(103,$D$4:D106)</f>
        <v>103</v>
      </c>
      <c r="D106" s="9" t="s">
        <v>1412</v>
      </c>
      <c r="E106" s="12" t="s">
        <v>277</v>
      </c>
      <c r="F106" s="10" t="s">
        <v>8</v>
      </c>
      <c r="G106" s="12" t="s">
        <v>55</v>
      </c>
      <c r="H106" s="80" t="s">
        <v>10</v>
      </c>
      <c r="I106" s="10" t="s">
        <v>54</v>
      </c>
      <c r="J106" s="12" t="s">
        <v>9</v>
      </c>
      <c r="K106" s="10" t="s">
        <v>54</v>
      </c>
      <c r="L106" s="81" t="s">
        <v>177</v>
      </c>
      <c r="M106" s="10" t="s">
        <v>54</v>
      </c>
      <c r="N106" s="81" t="s">
        <v>177</v>
      </c>
      <c r="O106" s="9"/>
      <c r="P106" s="11">
        <v>46</v>
      </c>
      <c r="Q106" s="7"/>
      <c r="R106" s="1"/>
    </row>
    <row r="107" spans="1:18" ht="51">
      <c r="A107" s="1"/>
      <c r="B107" s="6"/>
      <c r="C107" s="11">
        <f>SUBTOTAL(103,$D$4:D107)</f>
        <v>104</v>
      </c>
      <c r="D107" s="9" t="s">
        <v>1412</v>
      </c>
      <c r="E107" s="12" t="s">
        <v>278</v>
      </c>
      <c r="F107" s="10" t="s">
        <v>8</v>
      </c>
      <c r="G107" s="12" t="s">
        <v>55</v>
      </c>
      <c r="H107" s="80" t="s">
        <v>10</v>
      </c>
      <c r="I107" s="10" t="s">
        <v>54</v>
      </c>
      <c r="J107" s="12" t="s">
        <v>9</v>
      </c>
      <c r="K107" s="10" t="s">
        <v>54</v>
      </c>
      <c r="L107" s="81" t="s">
        <v>177</v>
      </c>
      <c r="M107" s="10" t="s">
        <v>54</v>
      </c>
      <c r="N107" s="81" t="s">
        <v>177</v>
      </c>
      <c r="O107" s="9"/>
      <c r="P107" s="11">
        <v>47</v>
      </c>
      <c r="Q107" s="7"/>
      <c r="R107" s="1"/>
    </row>
    <row r="108" spans="1:18" ht="68">
      <c r="A108" s="1"/>
      <c r="B108" s="6"/>
      <c r="C108" s="11">
        <f>SUBTOTAL(103,$D$4:D108)</f>
        <v>105</v>
      </c>
      <c r="D108" s="9" t="s">
        <v>1412</v>
      </c>
      <c r="E108" s="12" t="s">
        <v>279</v>
      </c>
      <c r="F108" s="10" t="s">
        <v>8</v>
      </c>
      <c r="G108" s="10" t="s">
        <v>54</v>
      </c>
      <c r="H108" s="80" t="s">
        <v>10</v>
      </c>
      <c r="I108" s="12" t="s">
        <v>55</v>
      </c>
      <c r="J108" s="12" t="s">
        <v>9</v>
      </c>
      <c r="K108" s="10" t="s">
        <v>54</v>
      </c>
      <c r="L108" s="81" t="s">
        <v>177</v>
      </c>
      <c r="M108" s="10" t="s">
        <v>54</v>
      </c>
      <c r="N108" s="81" t="s">
        <v>177</v>
      </c>
      <c r="O108" s="9"/>
      <c r="P108" s="11">
        <v>48</v>
      </c>
      <c r="Q108" s="7"/>
      <c r="R108" s="1"/>
    </row>
    <row r="109" spans="1:18" ht="34">
      <c r="A109" s="1"/>
      <c r="B109" s="6"/>
      <c r="C109" s="11">
        <f>SUBTOTAL(103,$D$4:D109)</f>
        <v>106</v>
      </c>
      <c r="D109" s="9" t="s">
        <v>1412</v>
      </c>
      <c r="E109" s="12" t="s">
        <v>280</v>
      </c>
      <c r="F109" s="10" t="s">
        <v>8</v>
      </c>
      <c r="G109" s="12" t="s">
        <v>55</v>
      </c>
      <c r="H109" s="80" t="s">
        <v>10</v>
      </c>
      <c r="I109" s="10" t="s">
        <v>54</v>
      </c>
      <c r="J109" s="12" t="s">
        <v>9</v>
      </c>
      <c r="K109" s="10" t="s">
        <v>54</v>
      </c>
      <c r="L109" s="81" t="s">
        <v>177</v>
      </c>
      <c r="M109" s="10" t="s">
        <v>54</v>
      </c>
      <c r="N109" s="81" t="s">
        <v>177</v>
      </c>
      <c r="O109" s="9"/>
      <c r="P109" s="11">
        <v>49</v>
      </c>
      <c r="Q109" s="7"/>
      <c r="R109" s="1"/>
    </row>
    <row r="110" spans="1:18" ht="51">
      <c r="A110" s="1"/>
      <c r="B110" s="6"/>
      <c r="C110" s="11">
        <f>SUBTOTAL(103,$D$4:D110)</f>
        <v>107</v>
      </c>
      <c r="D110" s="9" t="s">
        <v>1412</v>
      </c>
      <c r="E110" s="12" t="s">
        <v>281</v>
      </c>
      <c r="F110" s="10" t="s">
        <v>8</v>
      </c>
      <c r="G110" s="10" t="s">
        <v>54</v>
      </c>
      <c r="H110" s="80" t="s">
        <v>10</v>
      </c>
      <c r="I110" s="12" t="s">
        <v>55</v>
      </c>
      <c r="J110" s="12" t="s">
        <v>9</v>
      </c>
      <c r="K110" s="10" t="s">
        <v>54</v>
      </c>
      <c r="L110" s="81" t="s">
        <v>177</v>
      </c>
      <c r="M110" s="10" t="s">
        <v>54</v>
      </c>
      <c r="N110" s="81" t="s">
        <v>177</v>
      </c>
      <c r="O110" s="9"/>
      <c r="P110" s="11">
        <v>50</v>
      </c>
      <c r="Q110" s="7"/>
      <c r="R110" s="1"/>
    </row>
    <row r="111" spans="1:18" ht="68">
      <c r="A111" s="1"/>
      <c r="B111" s="6"/>
      <c r="C111" s="11">
        <f>SUBTOTAL(103,$D$4:D111)</f>
        <v>108</v>
      </c>
      <c r="D111" s="9" t="s">
        <v>1412</v>
      </c>
      <c r="E111" s="12" t="s">
        <v>282</v>
      </c>
      <c r="F111" s="10" t="s">
        <v>8</v>
      </c>
      <c r="G111" s="10" t="s">
        <v>54</v>
      </c>
      <c r="H111" s="80" t="s">
        <v>10</v>
      </c>
      <c r="I111" s="12" t="s">
        <v>55</v>
      </c>
      <c r="J111" s="12" t="s">
        <v>9</v>
      </c>
      <c r="K111" s="10" t="s">
        <v>54</v>
      </c>
      <c r="L111" s="81" t="s">
        <v>177</v>
      </c>
      <c r="M111" s="10" t="s">
        <v>54</v>
      </c>
      <c r="N111" s="81" t="s">
        <v>177</v>
      </c>
      <c r="O111" s="9"/>
      <c r="P111" s="11">
        <v>51</v>
      </c>
      <c r="Q111" s="7"/>
      <c r="R111" s="1"/>
    </row>
    <row r="112" spans="1:18" ht="51">
      <c r="A112" s="1"/>
      <c r="B112" s="6"/>
      <c r="C112" s="11">
        <f>SUBTOTAL(103,$D$4:D112)</f>
        <v>109</v>
      </c>
      <c r="D112" s="9" t="s">
        <v>1412</v>
      </c>
      <c r="E112" s="12" t="s">
        <v>283</v>
      </c>
      <c r="F112" s="10" t="s">
        <v>8</v>
      </c>
      <c r="G112" s="12" t="s">
        <v>55</v>
      </c>
      <c r="H112" s="80" t="s">
        <v>10</v>
      </c>
      <c r="I112" s="10" t="s">
        <v>54</v>
      </c>
      <c r="J112" s="12" t="s">
        <v>9</v>
      </c>
      <c r="K112" s="10" t="s">
        <v>54</v>
      </c>
      <c r="L112" s="81" t="s">
        <v>177</v>
      </c>
      <c r="M112" s="10" t="s">
        <v>54</v>
      </c>
      <c r="N112" s="81" t="s">
        <v>177</v>
      </c>
      <c r="O112" s="9"/>
      <c r="P112" s="11">
        <v>52</v>
      </c>
      <c r="Q112" s="7"/>
      <c r="R112" s="1"/>
    </row>
    <row r="113" spans="1:18" ht="51">
      <c r="A113" s="1"/>
      <c r="B113" s="6"/>
      <c r="C113" s="11">
        <f>SUBTOTAL(103,$D$4:D113)</f>
        <v>110</v>
      </c>
      <c r="D113" s="9" t="s">
        <v>1412</v>
      </c>
      <c r="E113" s="12" t="s">
        <v>284</v>
      </c>
      <c r="F113" s="10" t="s">
        <v>8</v>
      </c>
      <c r="G113" s="12" t="s">
        <v>55</v>
      </c>
      <c r="H113" s="80" t="s">
        <v>10</v>
      </c>
      <c r="I113" s="10" t="s">
        <v>54</v>
      </c>
      <c r="J113" s="12" t="s">
        <v>9</v>
      </c>
      <c r="K113" s="10" t="s">
        <v>54</v>
      </c>
      <c r="L113" s="81" t="s">
        <v>177</v>
      </c>
      <c r="M113" s="10" t="s">
        <v>54</v>
      </c>
      <c r="N113" s="81" t="s">
        <v>177</v>
      </c>
      <c r="O113" s="9"/>
      <c r="P113" s="11">
        <v>53</v>
      </c>
      <c r="Q113" s="7"/>
      <c r="R113" s="1"/>
    </row>
    <row r="114" spans="1:18" ht="51">
      <c r="A114" s="1"/>
      <c r="B114" s="6"/>
      <c r="C114" s="11">
        <f>SUBTOTAL(103,$D$4:D114)</f>
        <v>111</v>
      </c>
      <c r="D114" s="9" t="s">
        <v>1412</v>
      </c>
      <c r="E114" s="12" t="s">
        <v>285</v>
      </c>
      <c r="F114" s="10" t="s">
        <v>8</v>
      </c>
      <c r="G114" s="12" t="s">
        <v>55</v>
      </c>
      <c r="H114" s="80" t="s">
        <v>10</v>
      </c>
      <c r="I114" s="10" t="s">
        <v>54</v>
      </c>
      <c r="J114" s="12" t="s">
        <v>9</v>
      </c>
      <c r="K114" s="10" t="s">
        <v>54</v>
      </c>
      <c r="L114" s="81" t="s">
        <v>177</v>
      </c>
      <c r="M114" s="10" t="s">
        <v>54</v>
      </c>
      <c r="N114" s="81" t="s">
        <v>177</v>
      </c>
      <c r="O114" s="9"/>
      <c r="P114" s="11">
        <v>54</v>
      </c>
      <c r="Q114" s="7"/>
      <c r="R114" s="1"/>
    </row>
    <row r="115" spans="1:18" ht="68">
      <c r="A115" s="1"/>
      <c r="B115" s="6"/>
      <c r="C115" s="11">
        <f>SUBTOTAL(103,$D$4:D115)</f>
        <v>112</v>
      </c>
      <c r="D115" s="9" t="s">
        <v>1412</v>
      </c>
      <c r="E115" s="12" t="s">
        <v>286</v>
      </c>
      <c r="F115" s="10" t="s">
        <v>12</v>
      </c>
      <c r="G115" s="12" t="s">
        <v>55</v>
      </c>
      <c r="H115" s="80" t="s">
        <v>287</v>
      </c>
      <c r="I115" s="12" t="s">
        <v>55</v>
      </c>
      <c r="J115" s="12" t="s">
        <v>288</v>
      </c>
      <c r="K115" s="10" t="s">
        <v>54</v>
      </c>
      <c r="L115" s="12" t="s">
        <v>810</v>
      </c>
      <c r="M115" s="10" t="s">
        <v>54</v>
      </c>
      <c r="N115" s="80" t="s">
        <v>739</v>
      </c>
      <c r="O115" s="9"/>
      <c r="P115" s="11">
        <v>55</v>
      </c>
      <c r="Q115" s="7"/>
      <c r="R115" s="1"/>
    </row>
    <row r="116" spans="1:18" ht="68">
      <c r="A116" s="1"/>
      <c r="B116" s="6"/>
      <c r="C116" s="11">
        <f>SUBTOTAL(103,$D$4:D116)</f>
        <v>113</v>
      </c>
      <c r="D116" s="9" t="s">
        <v>1412</v>
      </c>
      <c r="E116" s="12" t="s">
        <v>2281</v>
      </c>
      <c r="F116" s="10" t="s">
        <v>12</v>
      </c>
      <c r="G116" s="12" t="s">
        <v>55</v>
      </c>
      <c r="H116" s="80" t="s">
        <v>289</v>
      </c>
      <c r="I116" s="12" t="s">
        <v>55</v>
      </c>
      <c r="J116" s="12" t="s">
        <v>290</v>
      </c>
      <c r="K116" s="12" t="s">
        <v>55</v>
      </c>
      <c r="L116" s="12" t="s">
        <v>811</v>
      </c>
      <c r="M116" s="10" t="s">
        <v>54</v>
      </c>
      <c r="N116" s="80" t="s">
        <v>740</v>
      </c>
      <c r="O116" s="9"/>
      <c r="P116" s="11">
        <v>56</v>
      </c>
      <c r="Q116" s="7"/>
      <c r="R116" s="1"/>
    </row>
    <row r="117" spans="1:18" ht="51">
      <c r="A117" s="1"/>
      <c r="B117" s="6"/>
      <c r="C117" s="11">
        <f>SUBTOTAL(103,$D$4:D117)</f>
        <v>114</v>
      </c>
      <c r="D117" s="9" t="s">
        <v>1412</v>
      </c>
      <c r="E117" s="12" t="s">
        <v>291</v>
      </c>
      <c r="F117" s="10" t="s">
        <v>12</v>
      </c>
      <c r="G117" s="12" t="s">
        <v>55</v>
      </c>
      <c r="H117" s="80" t="s">
        <v>292</v>
      </c>
      <c r="I117" s="10" t="s">
        <v>54</v>
      </c>
      <c r="J117" s="12" t="s">
        <v>293</v>
      </c>
      <c r="K117" s="10" t="s">
        <v>54</v>
      </c>
      <c r="L117" s="12" t="s">
        <v>812</v>
      </c>
      <c r="M117" s="12" t="s">
        <v>55</v>
      </c>
      <c r="N117" s="80" t="s">
        <v>741</v>
      </c>
      <c r="O117" s="9" t="s">
        <v>2407</v>
      </c>
      <c r="P117" s="11">
        <v>57</v>
      </c>
      <c r="Q117" s="7"/>
      <c r="R117" s="1"/>
    </row>
    <row r="118" spans="1:18" ht="51">
      <c r="A118" s="1"/>
      <c r="B118" s="6"/>
      <c r="C118" s="11">
        <f>SUBTOTAL(103,$D$4:D118)</f>
        <v>115</v>
      </c>
      <c r="D118" s="9" t="s">
        <v>1412</v>
      </c>
      <c r="E118" s="12" t="s">
        <v>294</v>
      </c>
      <c r="F118" s="10" t="s">
        <v>12</v>
      </c>
      <c r="G118" s="12" t="s">
        <v>55</v>
      </c>
      <c r="H118" s="80" t="s">
        <v>295</v>
      </c>
      <c r="I118" s="12" t="s">
        <v>55</v>
      </c>
      <c r="J118" s="12" t="s">
        <v>296</v>
      </c>
      <c r="K118" s="10" t="s">
        <v>54</v>
      </c>
      <c r="L118" s="12" t="s">
        <v>813</v>
      </c>
      <c r="M118" s="12" t="s">
        <v>55</v>
      </c>
      <c r="N118" s="80" t="s">
        <v>742</v>
      </c>
      <c r="O118" s="9"/>
      <c r="P118" s="11">
        <v>58</v>
      </c>
      <c r="Q118" s="7"/>
      <c r="R118" s="1"/>
    </row>
    <row r="119" spans="1:18" ht="51">
      <c r="A119" s="1"/>
      <c r="B119" s="6"/>
      <c r="C119" s="11">
        <f>SUBTOTAL(103,$D$4:D119)</f>
        <v>116</v>
      </c>
      <c r="D119" s="9" t="s">
        <v>1412</v>
      </c>
      <c r="E119" s="12" t="s">
        <v>297</v>
      </c>
      <c r="F119" s="10" t="s">
        <v>22</v>
      </c>
      <c r="G119" s="10" t="s">
        <v>54</v>
      </c>
      <c r="H119" s="80" t="s">
        <v>298</v>
      </c>
      <c r="I119" s="10" t="s">
        <v>54</v>
      </c>
      <c r="J119" s="12" t="s">
        <v>299</v>
      </c>
      <c r="K119" s="12" t="s">
        <v>55</v>
      </c>
      <c r="L119" s="12" t="s">
        <v>814</v>
      </c>
      <c r="M119" s="10" t="s">
        <v>54</v>
      </c>
      <c r="N119" s="80" t="s">
        <v>743</v>
      </c>
      <c r="O119" s="9"/>
      <c r="P119" s="11">
        <v>59</v>
      </c>
      <c r="Q119" s="7"/>
      <c r="R119" s="1"/>
    </row>
    <row r="120" spans="1:18" ht="34">
      <c r="A120" s="1"/>
      <c r="B120" s="6"/>
      <c r="C120" s="11">
        <f>SUBTOTAL(103,$D$4:D120)</f>
        <v>117</v>
      </c>
      <c r="D120" s="9" t="s">
        <v>1412</v>
      </c>
      <c r="E120" s="12" t="s">
        <v>300</v>
      </c>
      <c r="F120" s="10" t="s">
        <v>22</v>
      </c>
      <c r="G120" s="10" t="s">
        <v>54</v>
      </c>
      <c r="H120" s="80" t="s">
        <v>301</v>
      </c>
      <c r="I120" s="12" t="s">
        <v>55</v>
      </c>
      <c r="J120" s="12" t="s">
        <v>302</v>
      </c>
      <c r="K120" s="10" t="s">
        <v>54</v>
      </c>
      <c r="L120" s="12" t="s">
        <v>815</v>
      </c>
      <c r="M120" s="10" t="s">
        <v>54</v>
      </c>
      <c r="N120" s="80" t="s">
        <v>744</v>
      </c>
      <c r="O120" s="9"/>
      <c r="P120" s="11">
        <v>60</v>
      </c>
      <c r="Q120" s="7"/>
      <c r="R120" s="1"/>
    </row>
    <row r="121" spans="1:18" ht="85">
      <c r="A121" s="1"/>
      <c r="B121" s="6"/>
      <c r="C121" s="11">
        <f>SUBTOTAL(103,$D$4:D121)</f>
        <v>118</v>
      </c>
      <c r="D121" s="9" t="s">
        <v>1412</v>
      </c>
      <c r="E121" s="12" t="s">
        <v>303</v>
      </c>
      <c r="F121" s="10" t="s">
        <v>22</v>
      </c>
      <c r="G121" s="10" t="s">
        <v>54</v>
      </c>
      <c r="H121" s="80" t="s">
        <v>304</v>
      </c>
      <c r="I121" s="12" t="s">
        <v>55</v>
      </c>
      <c r="J121" s="12" t="s">
        <v>305</v>
      </c>
      <c r="K121" s="10" t="s">
        <v>54</v>
      </c>
      <c r="L121" s="12" t="s">
        <v>816</v>
      </c>
      <c r="M121" s="10" t="s">
        <v>54</v>
      </c>
      <c r="N121" s="80" t="s">
        <v>745</v>
      </c>
      <c r="O121" s="9"/>
      <c r="P121" s="11">
        <v>61</v>
      </c>
      <c r="Q121" s="7"/>
      <c r="R121" s="1"/>
    </row>
    <row r="122" spans="1:18" ht="187">
      <c r="A122" s="1"/>
      <c r="B122" s="6"/>
      <c r="C122" s="11">
        <f>SUBTOTAL(103,$D$4:D122)</f>
        <v>119</v>
      </c>
      <c r="D122" s="9" t="s">
        <v>1412</v>
      </c>
      <c r="E122" s="12" t="s">
        <v>306</v>
      </c>
      <c r="F122" s="10" t="s">
        <v>22</v>
      </c>
      <c r="G122" s="10" t="s">
        <v>54</v>
      </c>
      <c r="H122" s="80" t="s">
        <v>307</v>
      </c>
      <c r="I122" s="12" t="s">
        <v>55</v>
      </c>
      <c r="J122" s="12" t="s">
        <v>308</v>
      </c>
      <c r="K122" s="10" t="s">
        <v>54</v>
      </c>
      <c r="L122" s="12" t="s">
        <v>817</v>
      </c>
      <c r="M122" s="10" t="s">
        <v>54</v>
      </c>
      <c r="N122" s="80" t="s">
        <v>536</v>
      </c>
      <c r="O122" s="80" t="s">
        <v>2435</v>
      </c>
      <c r="P122" s="11">
        <v>62</v>
      </c>
      <c r="Q122" s="7"/>
      <c r="R122" s="1"/>
    </row>
    <row r="123" spans="1:18" ht="51">
      <c r="A123" s="1"/>
      <c r="B123" s="6"/>
      <c r="C123" s="11">
        <f>SUBTOTAL(103,$D$4:D123)</f>
        <v>120</v>
      </c>
      <c r="D123" s="9" t="s">
        <v>1412</v>
      </c>
      <c r="E123" s="12" t="s">
        <v>309</v>
      </c>
      <c r="F123" s="10" t="s">
        <v>22</v>
      </c>
      <c r="G123" s="10" t="s">
        <v>54</v>
      </c>
      <c r="H123" s="80" t="s">
        <v>310</v>
      </c>
      <c r="I123" s="10" t="s">
        <v>54</v>
      </c>
      <c r="J123" s="12" t="s">
        <v>311</v>
      </c>
      <c r="K123" s="10" t="s">
        <v>54</v>
      </c>
      <c r="L123" s="12" t="s">
        <v>818</v>
      </c>
      <c r="M123" s="12" t="s">
        <v>55</v>
      </c>
      <c r="N123" s="80" t="s">
        <v>746</v>
      </c>
      <c r="O123" s="9"/>
      <c r="P123" s="11">
        <v>63</v>
      </c>
      <c r="Q123" s="7"/>
      <c r="R123" s="1"/>
    </row>
    <row r="124" spans="1:18" ht="102">
      <c r="A124" s="1"/>
      <c r="B124" s="6"/>
      <c r="C124" s="11">
        <f>SUBTOTAL(103,$D$4:D124)</f>
        <v>121</v>
      </c>
      <c r="D124" s="9" t="s">
        <v>1412</v>
      </c>
      <c r="E124" s="12" t="s">
        <v>312</v>
      </c>
      <c r="F124" s="10" t="s">
        <v>22</v>
      </c>
      <c r="G124" s="12" t="s">
        <v>55</v>
      </c>
      <c r="H124" s="80" t="s">
        <v>313</v>
      </c>
      <c r="I124" s="10" t="s">
        <v>54</v>
      </c>
      <c r="J124" s="12" t="s">
        <v>314</v>
      </c>
      <c r="K124" s="10" t="s">
        <v>54</v>
      </c>
      <c r="L124" s="12" t="s">
        <v>819</v>
      </c>
      <c r="M124" s="10" t="s">
        <v>54</v>
      </c>
      <c r="N124" s="80" t="s">
        <v>747</v>
      </c>
      <c r="O124" s="9"/>
      <c r="P124" s="11">
        <v>64</v>
      </c>
      <c r="Q124" s="7"/>
      <c r="R124" s="1"/>
    </row>
    <row r="125" spans="1:18" ht="153">
      <c r="A125" s="1"/>
      <c r="B125" s="6"/>
      <c r="C125" s="11">
        <f>SUBTOTAL(103,$D$4:D125)</f>
        <v>122</v>
      </c>
      <c r="D125" s="9" t="s">
        <v>1412</v>
      </c>
      <c r="E125" s="12" t="s">
        <v>315</v>
      </c>
      <c r="F125" s="10" t="s">
        <v>22</v>
      </c>
      <c r="G125" s="12" t="s">
        <v>55</v>
      </c>
      <c r="H125" s="80" t="s">
        <v>316</v>
      </c>
      <c r="I125" s="10" t="s">
        <v>54</v>
      </c>
      <c r="J125" s="12" t="s">
        <v>317</v>
      </c>
      <c r="K125" s="10" t="s">
        <v>54</v>
      </c>
      <c r="L125" s="12" t="s">
        <v>820</v>
      </c>
      <c r="M125" s="10" t="s">
        <v>54</v>
      </c>
      <c r="N125" s="80" t="s">
        <v>748</v>
      </c>
      <c r="O125" s="9"/>
      <c r="P125" s="11">
        <v>65</v>
      </c>
      <c r="Q125" s="7"/>
      <c r="R125" s="1"/>
    </row>
    <row r="126" spans="1:18" ht="85">
      <c r="A126" s="1"/>
      <c r="B126" s="6"/>
      <c r="C126" s="11">
        <f>SUBTOTAL(103,$D$4:D126)</f>
        <v>123</v>
      </c>
      <c r="D126" s="9" t="s">
        <v>1412</v>
      </c>
      <c r="E126" s="12" t="s">
        <v>318</v>
      </c>
      <c r="F126" s="10" t="s">
        <v>22</v>
      </c>
      <c r="G126" s="12" t="s">
        <v>55</v>
      </c>
      <c r="H126" s="80" t="s">
        <v>319</v>
      </c>
      <c r="I126" s="10" t="s">
        <v>54</v>
      </c>
      <c r="J126" s="12" t="s">
        <v>320</v>
      </c>
      <c r="K126" s="10" t="s">
        <v>54</v>
      </c>
      <c r="L126" s="12" t="s">
        <v>821</v>
      </c>
      <c r="M126" s="10" t="s">
        <v>54</v>
      </c>
      <c r="N126" s="80" t="s">
        <v>749</v>
      </c>
      <c r="O126" s="9"/>
      <c r="P126" s="11">
        <v>66</v>
      </c>
      <c r="Q126" s="7"/>
      <c r="R126" s="1"/>
    </row>
    <row r="127" spans="1:18" ht="85">
      <c r="A127" s="1"/>
      <c r="B127" s="6"/>
      <c r="C127" s="11">
        <f>SUBTOTAL(103,$D$4:D127)</f>
        <v>124</v>
      </c>
      <c r="D127" s="9" t="s">
        <v>1412</v>
      </c>
      <c r="E127" s="12" t="s">
        <v>321</v>
      </c>
      <c r="F127" s="10" t="s">
        <v>22</v>
      </c>
      <c r="G127" s="10" t="s">
        <v>54</v>
      </c>
      <c r="H127" s="80" t="s">
        <v>322</v>
      </c>
      <c r="I127" s="10" t="s">
        <v>54</v>
      </c>
      <c r="J127" s="12" t="s">
        <v>323</v>
      </c>
      <c r="K127" s="12" t="s">
        <v>55</v>
      </c>
      <c r="L127" s="12" t="s">
        <v>822</v>
      </c>
      <c r="M127" s="10" t="s">
        <v>54</v>
      </c>
      <c r="N127" s="80" t="s">
        <v>750</v>
      </c>
      <c r="O127" s="9"/>
      <c r="P127" s="11">
        <v>67</v>
      </c>
      <c r="Q127" s="7"/>
      <c r="R127" s="1"/>
    </row>
    <row r="128" spans="1:18" ht="68">
      <c r="A128" s="1"/>
      <c r="B128" s="6"/>
      <c r="C128" s="11">
        <f>SUBTOTAL(103,$D$4:D128)</f>
        <v>125</v>
      </c>
      <c r="D128" s="9" t="s">
        <v>1412</v>
      </c>
      <c r="E128" s="12" t="s">
        <v>324</v>
      </c>
      <c r="F128" s="10" t="s">
        <v>22</v>
      </c>
      <c r="G128" s="10" t="s">
        <v>54</v>
      </c>
      <c r="H128" s="80" t="s">
        <v>325</v>
      </c>
      <c r="I128" s="10" t="s">
        <v>54</v>
      </c>
      <c r="J128" s="12" t="s">
        <v>326</v>
      </c>
      <c r="K128" s="12" t="s">
        <v>55</v>
      </c>
      <c r="L128" s="12" t="s">
        <v>823</v>
      </c>
      <c r="M128" s="10" t="s">
        <v>54</v>
      </c>
      <c r="N128" s="80" t="s">
        <v>751</v>
      </c>
      <c r="O128" s="9"/>
      <c r="P128" s="11">
        <v>68</v>
      </c>
      <c r="Q128" s="7"/>
      <c r="R128" s="1"/>
    </row>
    <row r="129" spans="1:18" ht="68">
      <c r="A129" s="1"/>
      <c r="B129" s="6"/>
      <c r="C129" s="11">
        <f>SUBTOTAL(103,$D$4:D129)</f>
        <v>126</v>
      </c>
      <c r="D129" s="9" t="s">
        <v>1412</v>
      </c>
      <c r="E129" s="12" t="s">
        <v>327</v>
      </c>
      <c r="F129" s="10" t="s">
        <v>22</v>
      </c>
      <c r="G129" s="10" t="s">
        <v>54</v>
      </c>
      <c r="H129" s="80" t="s">
        <v>328</v>
      </c>
      <c r="I129" s="12" t="s">
        <v>55</v>
      </c>
      <c r="J129" s="12" t="s">
        <v>329</v>
      </c>
      <c r="K129" s="10" t="s">
        <v>54</v>
      </c>
      <c r="L129" s="12" t="s">
        <v>824</v>
      </c>
      <c r="M129" s="10" t="s">
        <v>54</v>
      </c>
      <c r="N129" s="80" t="s">
        <v>752</v>
      </c>
      <c r="O129" s="9"/>
      <c r="P129" s="11">
        <v>69</v>
      </c>
      <c r="Q129" s="7"/>
      <c r="R129" s="1"/>
    </row>
    <row r="130" spans="1:18" ht="85">
      <c r="A130" s="1"/>
      <c r="B130" s="6"/>
      <c r="C130" s="11">
        <f>SUBTOTAL(103,$D$4:D130)</f>
        <v>127</v>
      </c>
      <c r="D130" s="9" t="s">
        <v>1412</v>
      </c>
      <c r="E130" s="12" t="s">
        <v>1825</v>
      </c>
      <c r="F130" s="10" t="s">
        <v>8</v>
      </c>
      <c r="G130" s="12" t="s">
        <v>55</v>
      </c>
      <c r="H130" s="80" t="s">
        <v>10</v>
      </c>
      <c r="I130" s="10" t="s">
        <v>54</v>
      </c>
      <c r="J130" s="12" t="s">
        <v>9</v>
      </c>
      <c r="K130" s="10" t="s">
        <v>54</v>
      </c>
      <c r="L130" s="81" t="s">
        <v>177</v>
      </c>
      <c r="M130" s="10" t="s">
        <v>54</v>
      </c>
      <c r="N130" s="81" t="s">
        <v>177</v>
      </c>
      <c r="O130" s="9"/>
      <c r="P130" s="9"/>
      <c r="Q130" s="7"/>
      <c r="R130" s="1"/>
    </row>
    <row r="131" spans="1:18" ht="119">
      <c r="A131" s="1"/>
      <c r="B131" s="6"/>
      <c r="C131" s="11">
        <f>SUBTOTAL(103,$D$4:D131)</f>
        <v>128</v>
      </c>
      <c r="D131" s="9" t="s">
        <v>1412</v>
      </c>
      <c r="E131" s="12" t="s">
        <v>1944</v>
      </c>
      <c r="F131" s="10" t="s">
        <v>22</v>
      </c>
      <c r="G131" s="10" t="s">
        <v>54</v>
      </c>
      <c r="H131" s="80" t="s">
        <v>1945</v>
      </c>
      <c r="I131" s="12" t="s">
        <v>55</v>
      </c>
      <c r="J131" s="12" t="s">
        <v>1946</v>
      </c>
      <c r="K131" s="10" t="s">
        <v>54</v>
      </c>
      <c r="L131" s="81" t="s">
        <v>1947</v>
      </c>
      <c r="M131" s="10" t="s">
        <v>54</v>
      </c>
      <c r="N131" s="81" t="s">
        <v>1948</v>
      </c>
      <c r="O131" s="9"/>
      <c r="P131" s="104" t="s">
        <v>2437</v>
      </c>
      <c r="Q131" s="7"/>
      <c r="R131" s="1"/>
    </row>
    <row r="132" spans="1:18" ht="68">
      <c r="A132" s="1"/>
      <c r="B132" s="6"/>
      <c r="C132" s="11">
        <f>SUBTOTAL(103,$D$4:D132)</f>
        <v>129</v>
      </c>
      <c r="D132" s="9" t="s">
        <v>1412</v>
      </c>
      <c r="E132" s="12" t="s">
        <v>2023</v>
      </c>
      <c r="F132" s="10" t="s">
        <v>22</v>
      </c>
      <c r="G132" s="94" t="s">
        <v>55</v>
      </c>
      <c r="H132" s="13" t="s">
        <v>2024</v>
      </c>
      <c r="I132" s="10" t="s">
        <v>54</v>
      </c>
      <c r="J132" s="13" t="s">
        <v>2025</v>
      </c>
      <c r="K132" s="10" t="s">
        <v>54</v>
      </c>
      <c r="L132" s="13" t="s">
        <v>2026</v>
      </c>
      <c r="M132" s="10" t="s">
        <v>54</v>
      </c>
      <c r="N132" s="13" t="s">
        <v>2027</v>
      </c>
      <c r="O132" s="9" t="s">
        <v>2408</v>
      </c>
      <c r="P132" s="104" t="s">
        <v>2437</v>
      </c>
      <c r="Q132" s="7"/>
      <c r="R132" s="1"/>
    </row>
    <row r="133" spans="1:18" ht="68">
      <c r="A133" s="1"/>
      <c r="B133" s="6"/>
      <c r="C133" s="11">
        <f>SUBTOTAL(103,$D$4:D133)</f>
        <v>130</v>
      </c>
      <c r="D133" s="9" t="s">
        <v>1412</v>
      </c>
      <c r="E133" s="12" t="s">
        <v>2253</v>
      </c>
      <c r="F133" s="10" t="s">
        <v>22</v>
      </c>
      <c r="G133" s="10" t="s">
        <v>54</v>
      </c>
      <c r="H133" s="13" t="s">
        <v>2255</v>
      </c>
      <c r="I133" s="10" t="s">
        <v>54</v>
      </c>
      <c r="J133" s="13" t="s">
        <v>2256</v>
      </c>
      <c r="K133" s="94" t="s">
        <v>55</v>
      </c>
      <c r="L133" s="13" t="s">
        <v>2254</v>
      </c>
      <c r="M133" s="10" t="s">
        <v>54</v>
      </c>
      <c r="N133" s="13" t="s">
        <v>2257</v>
      </c>
      <c r="O133" s="9"/>
      <c r="P133" s="104" t="s">
        <v>2437</v>
      </c>
      <c r="Q133" s="7"/>
      <c r="R133" s="1"/>
    </row>
    <row r="134" spans="1:18" ht="102">
      <c r="A134" s="1"/>
      <c r="B134" s="6"/>
      <c r="C134" s="11">
        <f>SUBTOTAL(103,$D$4:D134)</f>
        <v>131</v>
      </c>
      <c r="D134" s="9" t="s">
        <v>1412</v>
      </c>
      <c r="E134" s="12" t="s">
        <v>2063</v>
      </c>
      <c r="F134" s="89" t="s">
        <v>22</v>
      </c>
      <c r="G134" s="94" t="s">
        <v>55</v>
      </c>
      <c r="H134" s="90" t="s">
        <v>1342</v>
      </c>
      <c r="I134" s="10" t="s">
        <v>54</v>
      </c>
      <c r="J134" s="90" t="s">
        <v>2064</v>
      </c>
      <c r="K134" s="10" t="s">
        <v>54</v>
      </c>
      <c r="L134" s="81" t="s">
        <v>2065</v>
      </c>
      <c r="M134" s="10" t="s">
        <v>54</v>
      </c>
      <c r="N134" s="81" t="s">
        <v>867</v>
      </c>
      <c r="O134" s="9"/>
      <c r="P134" s="104" t="s">
        <v>2437</v>
      </c>
      <c r="Q134" s="7"/>
      <c r="R134" s="1"/>
    </row>
    <row r="135" spans="1:18" ht="102">
      <c r="A135" s="1"/>
      <c r="B135" s="6"/>
      <c r="C135" s="11">
        <f>SUBTOTAL(103,$D$4:D135)</f>
        <v>132</v>
      </c>
      <c r="D135" s="9" t="s">
        <v>1412</v>
      </c>
      <c r="E135" s="12" t="s">
        <v>2066</v>
      </c>
      <c r="F135" s="89" t="s">
        <v>22</v>
      </c>
      <c r="G135" s="10" t="s">
        <v>54</v>
      </c>
      <c r="H135" s="81" t="s">
        <v>2067</v>
      </c>
      <c r="I135" s="10" t="s">
        <v>54</v>
      </c>
      <c r="J135" s="81" t="s">
        <v>2068</v>
      </c>
      <c r="K135" s="10" t="s">
        <v>54</v>
      </c>
      <c r="L135" s="81" t="s">
        <v>2069</v>
      </c>
      <c r="M135" s="94" t="s">
        <v>55</v>
      </c>
      <c r="N135" s="81" t="s">
        <v>2070</v>
      </c>
      <c r="O135" s="9"/>
      <c r="P135" s="104" t="s">
        <v>2437</v>
      </c>
      <c r="Q135" s="7"/>
      <c r="R135" s="1"/>
    </row>
    <row r="136" spans="1:18" ht="221">
      <c r="A136" s="1"/>
      <c r="B136" s="6"/>
      <c r="C136" s="11">
        <f>SUBTOTAL(103,$D$4:D136)</f>
        <v>133</v>
      </c>
      <c r="D136" s="9" t="s">
        <v>1412</v>
      </c>
      <c r="E136" s="12" t="s">
        <v>2071</v>
      </c>
      <c r="F136" s="89" t="s">
        <v>12</v>
      </c>
      <c r="G136" s="12" t="s">
        <v>55</v>
      </c>
      <c r="H136" s="81" t="s">
        <v>346</v>
      </c>
      <c r="I136" s="10" t="s">
        <v>54</v>
      </c>
      <c r="J136" s="81" t="s">
        <v>347</v>
      </c>
      <c r="K136" s="12" t="s">
        <v>55</v>
      </c>
      <c r="L136" s="81" t="s">
        <v>806</v>
      </c>
      <c r="M136" s="10" t="s">
        <v>54</v>
      </c>
      <c r="N136" s="81" t="s">
        <v>755</v>
      </c>
      <c r="O136" s="9"/>
      <c r="P136" s="104" t="s">
        <v>2437</v>
      </c>
      <c r="Q136" s="7"/>
      <c r="R136" s="1"/>
    </row>
    <row r="137" spans="1:18" ht="85">
      <c r="A137" s="1"/>
      <c r="B137" s="6"/>
      <c r="C137" s="11">
        <f>SUBTOTAL(103,$D$4:D137)</f>
        <v>134</v>
      </c>
      <c r="D137" s="9" t="s">
        <v>1412</v>
      </c>
      <c r="E137" s="12" t="s">
        <v>2072</v>
      </c>
      <c r="F137" s="89" t="s">
        <v>12</v>
      </c>
      <c r="G137" s="10" t="s">
        <v>54</v>
      </c>
      <c r="H137" s="81" t="s">
        <v>2073</v>
      </c>
      <c r="I137" s="12" t="s">
        <v>55</v>
      </c>
      <c r="J137" s="81" t="s">
        <v>2074</v>
      </c>
      <c r="K137" s="12" t="s">
        <v>55</v>
      </c>
      <c r="L137" s="81" t="s">
        <v>2075</v>
      </c>
      <c r="M137" s="10" t="s">
        <v>54</v>
      </c>
      <c r="N137" s="81" t="s">
        <v>2076</v>
      </c>
      <c r="O137" s="9"/>
      <c r="P137" s="104" t="s">
        <v>2437</v>
      </c>
      <c r="Q137" s="7"/>
      <c r="R137" s="1"/>
    </row>
    <row r="138" spans="1:18" ht="51">
      <c r="A138" s="1"/>
      <c r="B138" s="6"/>
      <c r="C138" s="11">
        <f>SUBTOTAL(103,$D$4:D138)</f>
        <v>135</v>
      </c>
      <c r="D138" s="9" t="s">
        <v>1412</v>
      </c>
      <c r="E138" s="12" t="s">
        <v>2077</v>
      </c>
      <c r="F138" s="10" t="s">
        <v>8</v>
      </c>
      <c r="G138" s="10" t="s">
        <v>54</v>
      </c>
      <c r="H138" s="80" t="s">
        <v>10</v>
      </c>
      <c r="I138" s="12" t="s">
        <v>55</v>
      </c>
      <c r="J138" s="12" t="s">
        <v>9</v>
      </c>
      <c r="K138" s="10" t="s">
        <v>54</v>
      </c>
      <c r="L138" s="81" t="s">
        <v>177</v>
      </c>
      <c r="M138" s="10" t="s">
        <v>54</v>
      </c>
      <c r="N138" s="81" t="s">
        <v>177</v>
      </c>
      <c r="O138" s="9"/>
      <c r="P138" s="104" t="s">
        <v>2437</v>
      </c>
      <c r="Q138" s="7"/>
      <c r="R138" s="1"/>
    </row>
    <row r="139" spans="1:18" ht="68">
      <c r="A139" s="1"/>
      <c r="B139" s="6"/>
      <c r="C139" s="11">
        <f>SUBTOTAL(103,$D$4:D139)</f>
        <v>136</v>
      </c>
      <c r="D139" s="9" t="s">
        <v>1412</v>
      </c>
      <c r="E139" s="12" t="s">
        <v>2078</v>
      </c>
      <c r="F139" s="10" t="s">
        <v>8</v>
      </c>
      <c r="G139" s="12" t="s">
        <v>55</v>
      </c>
      <c r="H139" s="80" t="s">
        <v>10</v>
      </c>
      <c r="I139" s="10" t="s">
        <v>54</v>
      </c>
      <c r="J139" s="12" t="s">
        <v>9</v>
      </c>
      <c r="K139" s="10" t="s">
        <v>54</v>
      </c>
      <c r="L139" s="81" t="s">
        <v>177</v>
      </c>
      <c r="M139" s="10" t="s">
        <v>54</v>
      </c>
      <c r="N139" s="81" t="s">
        <v>177</v>
      </c>
      <c r="O139" s="9"/>
      <c r="P139" s="104" t="s">
        <v>2437</v>
      </c>
      <c r="Q139" s="7"/>
      <c r="R139" s="1"/>
    </row>
    <row r="140" spans="1:18" ht="68">
      <c r="A140" s="1"/>
      <c r="B140" s="6"/>
      <c r="C140" s="11">
        <f>SUBTOTAL(103,$D$4:D140)</f>
        <v>137</v>
      </c>
      <c r="D140" s="9" t="s">
        <v>1412</v>
      </c>
      <c r="E140" s="12" t="s">
        <v>2079</v>
      </c>
      <c r="F140" s="89" t="s">
        <v>22</v>
      </c>
      <c r="G140" s="10" t="s">
        <v>54</v>
      </c>
      <c r="H140" s="81" t="s">
        <v>2080</v>
      </c>
      <c r="I140" s="12" t="s">
        <v>55</v>
      </c>
      <c r="J140" s="81" t="s">
        <v>2081</v>
      </c>
      <c r="K140" s="10" t="s">
        <v>54</v>
      </c>
      <c r="L140" s="81" t="s">
        <v>2082</v>
      </c>
      <c r="M140" s="10" t="s">
        <v>54</v>
      </c>
      <c r="N140" s="81" t="s">
        <v>2083</v>
      </c>
      <c r="O140" s="9"/>
      <c r="P140" s="104" t="s">
        <v>2437</v>
      </c>
      <c r="Q140" s="7"/>
      <c r="R140" s="1"/>
    </row>
    <row r="141" spans="1:18" ht="17">
      <c r="A141" s="1"/>
      <c r="B141" s="6"/>
      <c r="C141" s="11">
        <f>SUBTOTAL(103,$D$4:D141)</f>
        <v>138</v>
      </c>
      <c r="D141" s="9" t="s">
        <v>1412</v>
      </c>
      <c r="E141" s="12" t="s">
        <v>2409</v>
      </c>
      <c r="F141" s="89" t="s">
        <v>22</v>
      </c>
      <c r="G141" s="12" t="s">
        <v>55</v>
      </c>
      <c r="H141" s="81" t="s">
        <v>2084</v>
      </c>
      <c r="I141" s="10" t="s">
        <v>54</v>
      </c>
      <c r="J141" s="81" t="s">
        <v>2085</v>
      </c>
      <c r="K141" s="10" t="s">
        <v>54</v>
      </c>
      <c r="L141" s="81" t="s">
        <v>2086</v>
      </c>
      <c r="M141" s="10" t="s">
        <v>54</v>
      </c>
      <c r="N141" s="81" t="s">
        <v>2052</v>
      </c>
      <c r="O141" s="9"/>
      <c r="P141" s="104" t="s">
        <v>2437</v>
      </c>
      <c r="Q141" s="7"/>
      <c r="R141" s="1"/>
    </row>
    <row r="142" spans="1:18" ht="51">
      <c r="A142" s="1"/>
      <c r="B142" s="6"/>
      <c r="C142" s="11">
        <f>SUBTOTAL(103,$D$4:D142)</f>
        <v>139</v>
      </c>
      <c r="D142" s="9" t="s">
        <v>1412</v>
      </c>
      <c r="E142" s="12" t="s">
        <v>2087</v>
      </c>
      <c r="F142" s="89" t="s">
        <v>12</v>
      </c>
      <c r="G142" s="10" t="s">
        <v>54</v>
      </c>
      <c r="H142" s="81" t="s">
        <v>2088</v>
      </c>
      <c r="I142" s="12" t="s">
        <v>55</v>
      </c>
      <c r="J142" s="81" t="s">
        <v>2089</v>
      </c>
      <c r="K142" s="10" t="s">
        <v>54</v>
      </c>
      <c r="L142" s="81" t="s">
        <v>2090</v>
      </c>
      <c r="M142" s="12" t="s">
        <v>55</v>
      </c>
      <c r="N142" s="81" t="s">
        <v>2091</v>
      </c>
      <c r="O142" s="9"/>
      <c r="P142" s="104" t="s">
        <v>2437</v>
      </c>
      <c r="Q142" s="7"/>
      <c r="R142" s="1"/>
    </row>
    <row r="143" spans="1:18" ht="102">
      <c r="A143" s="1"/>
      <c r="B143" s="6"/>
      <c r="C143" s="11">
        <f>SUBTOTAL(103,$D$4:D143)</f>
        <v>140</v>
      </c>
      <c r="D143" s="9" t="s">
        <v>1412</v>
      </c>
      <c r="E143" s="12" t="s">
        <v>2092</v>
      </c>
      <c r="F143" s="89" t="s">
        <v>22</v>
      </c>
      <c r="G143" s="10" t="s">
        <v>54</v>
      </c>
      <c r="H143" s="81" t="s">
        <v>2093</v>
      </c>
      <c r="I143" s="10" t="s">
        <v>54</v>
      </c>
      <c r="J143" s="81" t="s">
        <v>2094</v>
      </c>
      <c r="K143" s="12" t="s">
        <v>55</v>
      </c>
      <c r="L143" s="81" t="s">
        <v>2095</v>
      </c>
      <c r="M143" s="10" t="s">
        <v>54</v>
      </c>
      <c r="N143" s="81" t="s">
        <v>2096</v>
      </c>
      <c r="O143" s="9"/>
      <c r="P143" s="104" t="s">
        <v>2437</v>
      </c>
      <c r="Q143" s="7"/>
      <c r="R143" s="1"/>
    </row>
    <row r="144" spans="1:18" ht="170">
      <c r="A144" s="1"/>
      <c r="B144" s="6"/>
      <c r="C144" s="11">
        <f>SUBTOTAL(103,$D$4:D144)</f>
        <v>141</v>
      </c>
      <c r="D144" s="9" t="s">
        <v>1412</v>
      </c>
      <c r="E144" s="12" t="s">
        <v>2097</v>
      </c>
      <c r="F144" s="89" t="s">
        <v>12</v>
      </c>
      <c r="G144" s="12" t="s">
        <v>55</v>
      </c>
      <c r="H144" s="81" t="s">
        <v>2098</v>
      </c>
      <c r="I144" s="10" t="s">
        <v>54</v>
      </c>
      <c r="J144" s="81" t="s">
        <v>2099</v>
      </c>
      <c r="K144" s="12" t="s">
        <v>55</v>
      </c>
      <c r="L144" s="81" t="s">
        <v>2100</v>
      </c>
      <c r="M144" s="12" t="s">
        <v>55</v>
      </c>
      <c r="N144" s="81" t="s">
        <v>2101</v>
      </c>
      <c r="O144" s="9"/>
      <c r="P144" s="104" t="s">
        <v>2437</v>
      </c>
      <c r="Q144" s="7"/>
      <c r="R144" s="1"/>
    </row>
    <row r="145" spans="1:18" ht="34">
      <c r="A145" s="1"/>
      <c r="B145" s="6"/>
      <c r="C145" s="11">
        <f>SUBTOTAL(103,$D$4:D145)</f>
        <v>142</v>
      </c>
      <c r="D145" s="9" t="s">
        <v>1412</v>
      </c>
      <c r="E145" s="12" t="s">
        <v>2102</v>
      </c>
      <c r="F145" s="89" t="s">
        <v>22</v>
      </c>
      <c r="G145" s="10" t="s">
        <v>54</v>
      </c>
      <c r="H145" s="81" t="s">
        <v>2103</v>
      </c>
      <c r="I145" s="12" t="s">
        <v>55</v>
      </c>
      <c r="J145" s="81" t="s">
        <v>2104</v>
      </c>
      <c r="K145" s="10" t="s">
        <v>54</v>
      </c>
      <c r="L145" s="81" t="s">
        <v>2105</v>
      </c>
      <c r="M145" s="10" t="s">
        <v>54</v>
      </c>
      <c r="N145" s="81" t="s">
        <v>2106</v>
      </c>
      <c r="O145" s="9"/>
      <c r="P145" s="104" t="s">
        <v>2437</v>
      </c>
      <c r="Q145" s="7"/>
      <c r="R145" s="1"/>
    </row>
    <row r="146" spans="1:18" ht="51">
      <c r="A146" s="1"/>
      <c r="B146" s="6"/>
      <c r="C146" s="11">
        <f>SUBTOTAL(103,$D$4:D146)</f>
        <v>143</v>
      </c>
      <c r="D146" s="9" t="s">
        <v>1412</v>
      </c>
      <c r="E146" s="12" t="s">
        <v>2124</v>
      </c>
      <c r="F146" s="89" t="s">
        <v>22</v>
      </c>
      <c r="G146" s="94" t="s">
        <v>55</v>
      </c>
      <c r="H146" s="81" t="s">
        <v>2125</v>
      </c>
      <c r="I146" s="10" t="s">
        <v>54</v>
      </c>
      <c r="J146" s="81" t="s">
        <v>2126</v>
      </c>
      <c r="K146" s="10" t="s">
        <v>54</v>
      </c>
      <c r="L146" s="81" t="s">
        <v>2127</v>
      </c>
      <c r="M146" s="10" t="s">
        <v>54</v>
      </c>
      <c r="N146" s="81" t="s">
        <v>2128</v>
      </c>
      <c r="O146" s="9"/>
      <c r="P146" s="104" t="s">
        <v>2437</v>
      </c>
      <c r="Q146" s="7"/>
      <c r="R146" s="1"/>
    </row>
    <row r="147" spans="1:18" ht="34">
      <c r="A147" s="1"/>
      <c r="B147" s="6"/>
      <c r="C147" s="11">
        <f>SUBTOTAL(103,$D$4:D147)</f>
        <v>144</v>
      </c>
      <c r="D147" s="9" t="s">
        <v>1412</v>
      </c>
      <c r="E147" s="12" t="s">
        <v>2134</v>
      </c>
      <c r="F147" s="89" t="s">
        <v>8</v>
      </c>
      <c r="G147" s="10" t="s">
        <v>54</v>
      </c>
      <c r="H147" s="81" t="s">
        <v>10</v>
      </c>
      <c r="I147" s="94" t="s">
        <v>55</v>
      </c>
      <c r="J147" s="81" t="s">
        <v>9</v>
      </c>
      <c r="K147" s="10" t="s">
        <v>54</v>
      </c>
      <c r="L147" s="81" t="s">
        <v>177</v>
      </c>
      <c r="M147" s="10" t="s">
        <v>54</v>
      </c>
      <c r="N147" s="81" t="s">
        <v>177</v>
      </c>
      <c r="O147" s="9"/>
      <c r="P147" s="104" t="s">
        <v>2437</v>
      </c>
      <c r="Q147" s="7"/>
      <c r="R147" s="1"/>
    </row>
    <row r="148" spans="1:18" ht="153">
      <c r="A148" s="1"/>
      <c r="B148" s="6"/>
      <c r="C148" s="11">
        <f>SUBTOTAL(103,$D$4:D148)</f>
        <v>145</v>
      </c>
      <c r="D148" s="9" t="s">
        <v>1412</v>
      </c>
      <c r="E148" s="81" t="s">
        <v>2135</v>
      </c>
      <c r="F148" s="89" t="s">
        <v>12</v>
      </c>
      <c r="G148" s="10" t="s">
        <v>54</v>
      </c>
      <c r="H148" s="81" t="s">
        <v>2136</v>
      </c>
      <c r="I148" s="94" t="s">
        <v>55</v>
      </c>
      <c r="J148" s="81" t="s">
        <v>2250</v>
      </c>
      <c r="K148" s="94" t="s">
        <v>55</v>
      </c>
      <c r="L148" s="81" t="s">
        <v>2137</v>
      </c>
      <c r="M148" s="10" t="s">
        <v>54</v>
      </c>
      <c r="N148" s="81" t="s">
        <v>2251</v>
      </c>
      <c r="O148" s="9"/>
      <c r="P148" s="104" t="s">
        <v>2437</v>
      </c>
      <c r="Q148" s="7"/>
      <c r="R148" s="1"/>
    </row>
    <row r="149" spans="1:18" ht="51">
      <c r="A149" s="1"/>
      <c r="B149" s="6"/>
      <c r="C149" s="11">
        <f>SUBTOTAL(103,$D$4:D149)</f>
        <v>146</v>
      </c>
      <c r="D149" s="9" t="s">
        <v>1412</v>
      </c>
      <c r="E149" s="12" t="s">
        <v>2138</v>
      </c>
      <c r="F149" s="10" t="s">
        <v>8</v>
      </c>
      <c r="G149" s="94" t="s">
        <v>55</v>
      </c>
      <c r="H149" s="80" t="s">
        <v>10</v>
      </c>
      <c r="I149" s="10" t="s">
        <v>54</v>
      </c>
      <c r="J149" s="12" t="s">
        <v>9</v>
      </c>
      <c r="K149" s="10" t="s">
        <v>54</v>
      </c>
      <c r="L149" s="81" t="s">
        <v>177</v>
      </c>
      <c r="M149" s="10" t="s">
        <v>54</v>
      </c>
      <c r="N149" s="81" t="s">
        <v>177</v>
      </c>
      <c r="O149" s="9"/>
      <c r="P149" s="104" t="s">
        <v>2437</v>
      </c>
      <c r="Q149" s="7"/>
      <c r="R149" s="1"/>
    </row>
    <row r="150" spans="1:18" ht="153">
      <c r="A150" s="1"/>
      <c r="B150" s="6"/>
      <c r="C150" s="11">
        <f>SUBTOTAL(103,$D$4:D150)</f>
        <v>147</v>
      </c>
      <c r="D150" s="9" t="s">
        <v>1412</v>
      </c>
      <c r="E150" s="12" t="s">
        <v>2164</v>
      </c>
      <c r="F150" s="89" t="s">
        <v>12</v>
      </c>
      <c r="G150" s="10" t="s">
        <v>54</v>
      </c>
      <c r="H150" s="81" t="s">
        <v>2165</v>
      </c>
      <c r="I150" s="94" t="s">
        <v>55</v>
      </c>
      <c r="J150" s="81" t="s">
        <v>2166</v>
      </c>
      <c r="K150" s="94" t="s">
        <v>55</v>
      </c>
      <c r="L150" s="81" t="s">
        <v>2167</v>
      </c>
      <c r="M150" s="10" t="s">
        <v>54</v>
      </c>
      <c r="N150" s="81" t="s">
        <v>2168</v>
      </c>
      <c r="O150" s="9"/>
      <c r="P150" s="104" t="s">
        <v>2437</v>
      </c>
      <c r="Q150" s="7"/>
      <c r="R150" s="1"/>
    </row>
    <row r="151" spans="1:18" ht="51">
      <c r="A151" s="1"/>
      <c r="B151" s="6"/>
      <c r="C151" s="11">
        <f>SUBTOTAL(103,$D$4:D151)</f>
        <v>148</v>
      </c>
      <c r="D151" s="9" t="s">
        <v>1412</v>
      </c>
      <c r="E151" s="12" t="s">
        <v>2315</v>
      </c>
      <c r="F151" s="10" t="s">
        <v>22</v>
      </c>
      <c r="G151" s="10" t="s">
        <v>54</v>
      </c>
      <c r="H151" s="80" t="s">
        <v>2316</v>
      </c>
      <c r="I151" s="12" t="s">
        <v>55</v>
      </c>
      <c r="J151" s="12" t="s">
        <v>2317</v>
      </c>
      <c r="K151" s="10" t="s">
        <v>54</v>
      </c>
      <c r="L151" s="81" t="s">
        <v>2318</v>
      </c>
      <c r="M151" s="10" t="s">
        <v>54</v>
      </c>
      <c r="N151" s="80" t="s">
        <v>747</v>
      </c>
      <c r="O151" s="9"/>
      <c r="P151" s="9"/>
      <c r="Q151" s="7"/>
      <c r="R151" s="1"/>
    </row>
    <row r="152" spans="1:18" ht="51">
      <c r="A152" s="1"/>
      <c r="B152" s="6"/>
      <c r="C152" s="11">
        <f>SUBTOTAL(103,$D$4:D152)</f>
        <v>149</v>
      </c>
      <c r="D152" s="9" t="s">
        <v>1412</v>
      </c>
      <c r="E152" s="12" t="s">
        <v>2319</v>
      </c>
      <c r="F152" s="10" t="s">
        <v>8</v>
      </c>
      <c r="G152" s="12" t="s">
        <v>55</v>
      </c>
      <c r="H152" s="80" t="s">
        <v>10</v>
      </c>
      <c r="I152" s="10" t="s">
        <v>54</v>
      </c>
      <c r="J152" s="12" t="s">
        <v>9</v>
      </c>
      <c r="K152" s="10" t="s">
        <v>54</v>
      </c>
      <c r="L152" s="81" t="s">
        <v>177</v>
      </c>
      <c r="M152" s="10" t="s">
        <v>54</v>
      </c>
      <c r="N152" s="81" t="s">
        <v>177</v>
      </c>
      <c r="O152" s="9"/>
      <c r="P152" s="9"/>
      <c r="Q152" s="7"/>
      <c r="R152" s="1"/>
    </row>
    <row r="153" spans="1:18" ht="51">
      <c r="A153" s="1"/>
      <c r="B153" s="6"/>
      <c r="C153" s="11">
        <f>SUBTOTAL(103,$D$4:D153)</f>
        <v>150</v>
      </c>
      <c r="D153" s="9" t="s">
        <v>1413</v>
      </c>
      <c r="E153" s="12" t="s">
        <v>330</v>
      </c>
      <c r="F153" s="10" t="s">
        <v>8</v>
      </c>
      <c r="G153" s="10" t="s">
        <v>54</v>
      </c>
      <c r="H153" s="80" t="s">
        <v>10</v>
      </c>
      <c r="I153" s="12" t="s">
        <v>55</v>
      </c>
      <c r="J153" s="12" t="s">
        <v>9</v>
      </c>
      <c r="K153" s="10" t="s">
        <v>54</v>
      </c>
      <c r="L153" s="81" t="s">
        <v>177</v>
      </c>
      <c r="M153" s="10" t="s">
        <v>54</v>
      </c>
      <c r="N153" s="81" t="s">
        <v>177</v>
      </c>
      <c r="O153" s="9"/>
      <c r="P153" s="11">
        <v>70</v>
      </c>
      <c r="Q153" s="7"/>
      <c r="R153" s="1"/>
    </row>
    <row r="154" spans="1:18" ht="102">
      <c r="A154" s="1"/>
      <c r="B154" s="6"/>
      <c r="C154" s="11">
        <f>SUBTOTAL(103,$D$4:D154)</f>
        <v>151</v>
      </c>
      <c r="D154" s="9" t="s">
        <v>1413</v>
      </c>
      <c r="E154" s="12" t="s">
        <v>331</v>
      </c>
      <c r="F154" s="10" t="s">
        <v>8</v>
      </c>
      <c r="G154" s="10" t="s">
        <v>54</v>
      </c>
      <c r="H154" s="80" t="s">
        <v>10</v>
      </c>
      <c r="I154" s="12" t="s">
        <v>55</v>
      </c>
      <c r="J154" s="12" t="s">
        <v>9</v>
      </c>
      <c r="K154" s="10" t="s">
        <v>54</v>
      </c>
      <c r="L154" s="81" t="s">
        <v>177</v>
      </c>
      <c r="M154" s="10" t="s">
        <v>54</v>
      </c>
      <c r="N154" s="81" t="s">
        <v>177</v>
      </c>
      <c r="O154" s="9"/>
      <c r="P154" s="11">
        <v>71</v>
      </c>
      <c r="Q154" s="7"/>
      <c r="R154" s="1"/>
    </row>
    <row r="155" spans="1:18" ht="85">
      <c r="A155" s="1"/>
      <c r="B155" s="6"/>
      <c r="C155" s="11">
        <f>SUBTOTAL(103,$D$4:D155)</f>
        <v>152</v>
      </c>
      <c r="D155" s="9" t="s">
        <v>1413</v>
      </c>
      <c r="E155" s="12" t="s">
        <v>332</v>
      </c>
      <c r="F155" s="10" t="s">
        <v>8</v>
      </c>
      <c r="G155" s="12" t="s">
        <v>55</v>
      </c>
      <c r="H155" s="80" t="s">
        <v>10</v>
      </c>
      <c r="I155" s="10" t="s">
        <v>54</v>
      </c>
      <c r="J155" s="12" t="s">
        <v>9</v>
      </c>
      <c r="K155" s="10" t="s">
        <v>54</v>
      </c>
      <c r="L155" s="81" t="s">
        <v>177</v>
      </c>
      <c r="M155" s="10" t="s">
        <v>54</v>
      </c>
      <c r="N155" s="81" t="s">
        <v>177</v>
      </c>
      <c r="O155" s="9"/>
      <c r="P155" s="11">
        <v>72</v>
      </c>
      <c r="Q155" s="7"/>
      <c r="R155" s="1"/>
    </row>
    <row r="156" spans="1:18" ht="51">
      <c r="A156" s="1"/>
      <c r="B156" s="6"/>
      <c r="C156" s="11">
        <f>SUBTOTAL(103,$D$4:D156)</f>
        <v>153</v>
      </c>
      <c r="D156" s="9" t="s">
        <v>1413</v>
      </c>
      <c r="E156" s="12" t="s">
        <v>333</v>
      </c>
      <c r="F156" s="10" t="s">
        <v>8</v>
      </c>
      <c r="G156" s="10" t="s">
        <v>54</v>
      </c>
      <c r="H156" s="80" t="s">
        <v>10</v>
      </c>
      <c r="I156" s="12" t="s">
        <v>55</v>
      </c>
      <c r="J156" s="12" t="s">
        <v>9</v>
      </c>
      <c r="K156" s="10" t="s">
        <v>54</v>
      </c>
      <c r="L156" s="81" t="s">
        <v>177</v>
      </c>
      <c r="M156" s="10" t="s">
        <v>54</v>
      </c>
      <c r="N156" s="81" t="s">
        <v>177</v>
      </c>
      <c r="O156" s="9"/>
      <c r="P156" s="11">
        <v>73</v>
      </c>
      <c r="Q156" s="7"/>
      <c r="R156" s="1"/>
    </row>
    <row r="157" spans="1:18" ht="68">
      <c r="A157" s="1"/>
      <c r="B157" s="6"/>
      <c r="C157" s="11">
        <f>SUBTOTAL(103,$D$4:D157)</f>
        <v>154</v>
      </c>
      <c r="D157" s="9" t="s">
        <v>1413</v>
      </c>
      <c r="E157" s="12" t="s">
        <v>2282</v>
      </c>
      <c r="F157" s="10" t="s">
        <v>8</v>
      </c>
      <c r="G157" s="12" t="s">
        <v>55</v>
      </c>
      <c r="H157" s="80" t="s">
        <v>10</v>
      </c>
      <c r="I157" s="10" t="s">
        <v>54</v>
      </c>
      <c r="J157" s="12" t="s">
        <v>9</v>
      </c>
      <c r="K157" s="10" t="s">
        <v>54</v>
      </c>
      <c r="L157" s="81" t="s">
        <v>177</v>
      </c>
      <c r="M157" s="10" t="s">
        <v>54</v>
      </c>
      <c r="N157" s="81" t="s">
        <v>177</v>
      </c>
      <c r="O157" s="9"/>
      <c r="P157" s="11">
        <v>74</v>
      </c>
      <c r="Q157" s="7"/>
      <c r="R157" s="1"/>
    </row>
    <row r="158" spans="1:18" ht="51">
      <c r="A158" s="1"/>
      <c r="B158" s="6"/>
      <c r="C158" s="11">
        <f>SUBTOTAL(103,$D$4:D158)</f>
        <v>155</v>
      </c>
      <c r="D158" s="9" t="s">
        <v>1413</v>
      </c>
      <c r="E158" s="12" t="s">
        <v>334</v>
      </c>
      <c r="F158" s="10" t="s">
        <v>8</v>
      </c>
      <c r="G158" s="12" t="s">
        <v>55</v>
      </c>
      <c r="H158" s="80" t="s">
        <v>10</v>
      </c>
      <c r="I158" s="10" t="s">
        <v>54</v>
      </c>
      <c r="J158" s="12" t="s">
        <v>9</v>
      </c>
      <c r="K158" s="10" t="s">
        <v>54</v>
      </c>
      <c r="L158" s="81" t="s">
        <v>177</v>
      </c>
      <c r="M158" s="10" t="s">
        <v>54</v>
      </c>
      <c r="N158" s="81" t="s">
        <v>177</v>
      </c>
      <c r="O158" s="9"/>
      <c r="P158" s="11">
        <v>75</v>
      </c>
      <c r="Q158" s="7"/>
      <c r="R158" s="1"/>
    </row>
    <row r="159" spans="1:18" ht="34">
      <c r="A159" s="1"/>
      <c r="B159" s="6"/>
      <c r="C159" s="11">
        <f>SUBTOTAL(103,$D$4:D159)</f>
        <v>156</v>
      </c>
      <c r="D159" s="9" t="s">
        <v>1413</v>
      </c>
      <c r="E159" s="12" t="s">
        <v>335</v>
      </c>
      <c r="F159" s="10" t="s">
        <v>8</v>
      </c>
      <c r="G159" s="12" t="s">
        <v>55</v>
      </c>
      <c r="H159" s="80" t="s">
        <v>10</v>
      </c>
      <c r="I159" s="10" t="s">
        <v>54</v>
      </c>
      <c r="J159" s="12" t="s">
        <v>9</v>
      </c>
      <c r="K159" s="10" t="s">
        <v>54</v>
      </c>
      <c r="L159" s="81" t="s">
        <v>177</v>
      </c>
      <c r="M159" s="10" t="s">
        <v>54</v>
      </c>
      <c r="N159" s="81" t="s">
        <v>177</v>
      </c>
      <c r="O159" s="9"/>
      <c r="P159" s="11">
        <v>76</v>
      </c>
      <c r="Q159" s="7"/>
      <c r="R159" s="1"/>
    </row>
    <row r="160" spans="1:18" ht="34">
      <c r="A160" s="1"/>
      <c r="B160" s="6"/>
      <c r="C160" s="11">
        <f>SUBTOTAL(103,$D$4:D160)</f>
        <v>157</v>
      </c>
      <c r="D160" s="9" t="s">
        <v>1413</v>
      </c>
      <c r="E160" s="12" t="s">
        <v>336</v>
      </c>
      <c r="F160" s="10" t="s">
        <v>8</v>
      </c>
      <c r="G160" s="10" t="s">
        <v>54</v>
      </c>
      <c r="H160" s="80" t="s">
        <v>10</v>
      </c>
      <c r="I160" s="12" t="s">
        <v>55</v>
      </c>
      <c r="J160" s="12" t="s">
        <v>9</v>
      </c>
      <c r="K160" s="10" t="s">
        <v>54</v>
      </c>
      <c r="L160" s="81" t="s">
        <v>177</v>
      </c>
      <c r="M160" s="10" t="s">
        <v>54</v>
      </c>
      <c r="N160" s="81" t="s">
        <v>177</v>
      </c>
      <c r="O160" s="9" t="s">
        <v>2326</v>
      </c>
      <c r="P160" s="11">
        <v>77</v>
      </c>
      <c r="Q160" s="7"/>
      <c r="R160" s="1"/>
    </row>
    <row r="161" spans="1:18" ht="34">
      <c r="A161" s="1"/>
      <c r="B161" s="6"/>
      <c r="C161" s="11">
        <f>SUBTOTAL(103,$D$4:D161)</f>
        <v>158</v>
      </c>
      <c r="D161" s="9" t="s">
        <v>1413</v>
      </c>
      <c r="E161" s="12" t="s">
        <v>337</v>
      </c>
      <c r="F161" s="10" t="s">
        <v>8</v>
      </c>
      <c r="G161" s="12" t="s">
        <v>55</v>
      </c>
      <c r="H161" s="80" t="s">
        <v>10</v>
      </c>
      <c r="I161" s="10" t="s">
        <v>54</v>
      </c>
      <c r="J161" s="12" t="s">
        <v>9</v>
      </c>
      <c r="K161" s="10" t="s">
        <v>54</v>
      </c>
      <c r="L161" s="81" t="s">
        <v>177</v>
      </c>
      <c r="M161" s="10" t="s">
        <v>54</v>
      </c>
      <c r="N161" s="81" t="s">
        <v>177</v>
      </c>
      <c r="O161" s="9"/>
      <c r="P161" s="11">
        <v>78</v>
      </c>
      <c r="Q161" s="7"/>
      <c r="R161" s="1"/>
    </row>
    <row r="162" spans="1:18" ht="34">
      <c r="A162" s="1"/>
      <c r="B162" s="6"/>
      <c r="C162" s="11">
        <f>SUBTOTAL(103,$D$4:D162)</f>
        <v>159</v>
      </c>
      <c r="D162" s="9" t="s">
        <v>1413</v>
      </c>
      <c r="E162" s="12" t="s">
        <v>338</v>
      </c>
      <c r="F162" s="10" t="s">
        <v>8</v>
      </c>
      <c r="G162" s="12" t="s">
        <v>55</v>
      </c>
      <c r="H162" s="80" t="s">
        <v>10</v>
      </c>
      <c r="I162" s="10" t="s">
        <v>54</v>
      </c>
      <c r="J162" s="12" t="s">
        <v>9</v>
      </c>
      <c r="K162" s="10" t="s">
        <v>54</v>
      </c>
      <c r="L162" s="81" t="s">
        <v>177</v>
      </c>
      <c r="M162" s="10" t="s">
        <v>54</v>
      </c>
      <c r="N162" s="81" t="s">
        <v>177</v>
      </c>
      <c r="O162" s="9"/>
      <c r="P162" s="11">
        <v>79</v>
      </c>
      <c r="Q162" s="7"/>
      <c r="R162" s="1"/>
    </row>
    <row r="163" spans="1:18" ht="34">
      <c r="A163" s="1"/>
      <c r="B163" s="6"/>
      <c r="C163" s="11">
        <f>SUBTOTAL(103,$D$4:D163)</f>
        <v>160</v>
      </c>
      <c r="D163" s="9" t="s">
        <v>1413</v>
      </c>
      <c r="E163" s="12" t="s">
        <v>339</v>
      </c>
      <c r="F163" s="10" t="s">
        <v>12</v>
      </c>
      <c r="G163" s="10" t="s">
        <v>54</v>
      </c>
      <c r="H163" s="80" t="s">
        <v>340</v>
      </c>
      <c r="I163" s="12" t="s">
        <v>55</v>
      </c>
      <c r="J163" s="12" t="s">
        <v>341</v>
      </c>
      <c r="K163" s="12" t="s">
        <v>55</v>
      </c>
      <c r="L163" s="12" t="s">
        <v>804</v>
      </c>
      <c r="M163" s="10" t="s">
        <v>54</v>
      </c>
      <c r="N163" s="80" t="s">
        <v>753</v>
      </c>
      <c r="O163" s="9" t="s">
        <v>1856</v>
      </c>
      <c r="P163" s="11">
        <v>80</v>
      </c>
      <c r="Q163" s="7"/>
      <c r="R163" s="1"/>
    </row>
    <row r="164" spans="1:18" ht="102">
      <c r="A164" s="1"/>
      <c r="B164" s="6"/>
      <c r="C164" s="11">
        <f>SUBTOTAL(103,$D$4:D164)</f>
        <v>161</v>
      </c>
      <c r="D164" s="9" t="s">
        <v>1413</v>
      </c>
      <c r="E164" s="12" t="s">
        <v>342</v>
      </c>
      <c r="F164" s="10" t="s">
        <v>12</v>
      </c>
      <c r="G164" s="10" t="s">
        <v>54</v>
      </c>
      <c r="H164" s="80" t="s">
        <v>343</v>
      </c>
      <c r="I164" s="12" t="s">
        <v>55</v>
      </c>
      <c r="J164" s="12" t="s">
        <v>344</v>
      </c>
      <c r="K164" s="12" t="s">
        <v>55</v>
      </c>
      <c r="L164" s="12" t="s">
        <v>805</v>
      </c>
      <c r="M164" s="10" t="s">
        <v>54</v>
      </c>
      <c r="N164" s="80" t="s">
        <v>754</v>
      </c>
      <c r="O164" s="9"/>
      <c r="P164" s="11">
        <v>81</v>
      </c>
      <c r="Q164" s="7"/>
      <c r="R164" s="1"/>
    </row>
    <row r="165" spans="1:18" ht="221">
      <c r="A165" s="1"/>
      <c r="B165" s="6"/>
      <c r="C165" s="11">
        <f>SUBTOTAL(103,$D$4:D165)</f>
        <v>162</v>
      </c>
      <c r="D165" s="9" t="s">
        <v>1413</v>
      </c>
      <c r="E165" s="12" t="s">
        <v>345</v>
      </c>
      <c r="F165" s="10" t="s">
        <v>12</v>
      </c>
      <c r="G165" s="12" t="s">
        <v>55</v>
      </c>
      <c r="H165" s="80" t="s">
        <v>346</v>
      </c>
      <c r="I165" s="10" t="s">
        <v>54</v>
      </c>
      <c r="J165" s="12" t="s">
        <v>347</v>
      </c>
      <c r="K165" s="12" t="s">
        <v>55</v>
      </c>
      <c r="L165" s="12" t="s">
        <v>806</v>
      </c>
      <c r="M165" s="10" t="s">
        <v>54</v>
      </c>
      <c r="N165" s="80" t="s">
        <v>755</v>
      </c>
      <c r="O165" s="9"/>
      <c r="P165" s="11">
        <v>82</v>
      </c>
      <c r="Q165" s="7"/>
      <c r="R165" s="1"/>
    </row>
    <row r="166" spans="1:18" ht="34">
      <c r="A166" s="1"/>
      <c r="B166" s="6"/>
      <c r="C166" s="11">
        <f>SUBTOTAL(103,$D$4:D166)</f>
        <v>163</v>
      </c>
      <c r="D166" s="9" t="s">
        <v>1413</v>
      </c>
      <c r="E166" s="12" t="s">
        <v>348</v>
      </c>
      <c r="F166" s="10" t="s">
        <v>12</v>
      </c>
      <c r="G166" s="12" t="s">
        <v>55</v>
      </c>
      <c r="H166" s="80" t="s">
        <v>349</v>
      </c>
      <c r="I166" s="10" t="s">
        <v>54</v>
      </c>
      <c r="J166" s="12" t="s">
        <v>350</v>
      </c>
      <c r="K166" s="10" t="s">
        <v>54</v>
      </c>
      <c r="L166" s="12" t="s">
        <v>807</v>
      </c>
      <c r="M166" s="12" t="s">
        <v>55</v>
      </c>
      <c r="N166" s="80" t="s">
        <v>756</v>
      </c>
      <c r="O166" s="9"/>
      <c r="P166" s="11">
        <v>83</v>
      </c>
      <c r="Q166" s="7"/>
      <c r="R166" s="1"/>
    </row>
    <row r="167" spans="1:18" ht="85">
      <c r="A167" s="1"/>
      <c r="B167" s="6"/>
      <c r="C167" s="11">
        <f>SUBTOTAL(103,$D$4:D167)</f>
        <v>164</v>
      </c>
      <c r="D167" s="9" t="s">
        <v>1413</v>
      </c>
      <c r="E167" s="12" t="s">
        <v>351</v>
      </c>
      <c r="F167" s="10" t="s">
        <v>12</v>
      </c>
      <c r="G167" s="12" t="s">
        <v>55</v>
      </c>
      <c r="H167" s="80" t="s">
        <v>352</v>
      </c>
      <c r="I167" s="10" t="s">
        <v>54</v>
      </c>
      <c r="J167" s="12" t="s">
        <v>353</v>
      </c>
      <c r="K167" s="12" t="s">
        <v>55</v>
      </c>
      <c r="L167" s="12" t="s">
        <v>808</v>
      </c>
      <c r="M167" s="10" t="s">
        <v>54</v>
      </c>
      <c r="N167" s="80" t="s">
        <v>757</v>
      </c>
      <c r="O167" s="9"/>
      <c r="P167" s="11">
        <v>84</v>
      </c>
      <c r="Q167" s="7"/>
      <c r="R167" s="1"/>
    </row>
    <row r="168" spans="1:18" ht="85">
      <c r="A168" s="1"/>
      <c r="B168" s="6"/>
      <c r="C168" s="11">
        <f>SUBTOTAL(103,$D$4:D168)</f>
        <v>165</v>
      </c>
      <c r="D168" s="9" t="s">
        <v>1413</v>
      </c>
      <c r="E168" s="12" t="s">
        <v>354</v>
      </c>
      <c r="F168" s="10" t="s">
        <v>22</v>
      </c>
      <c r="G168" s="12" t="s">
        <v>55</v>
      </c>
      <c r="H168" s="81" t="s">
        <v>355</v>
      </c>
      <c r="I168" s="10" t="s">
        <v>54</v>
      </c>
      <c r="J168" s="81" t="s">
        <v>356</v>
      </c>
      <c r="K168" s="10" t="s">
        <v>54</v>
      </c>
      <c r="L168" s="81" t="s">
        <v>809</v>
      </c>
      <c r="M168" s="10" t="s">
        <v>54</v>
      </c>
      <c r="N168" s="81" t="s">
        <v>758</v>
      </c>
      <c r="O168" s="9" t="s">
        <v>1857</v>
      </c>
      <c r="P168" s="11">
        <v>85</v>
      </c>
      <c r="Q168" s="7"/>
      <c r="R168" s="1"/>
    </row>
    <row r="169" spans="1:18" ht="170">
      <c r="A169" s="1"/>
      <c r="B169" s="6"/>
      <c r="C169" s="11">
        <f>SUBTOTAL(103,$D$4:D169)</f>
        <v>166</v>
      </c>
      <c r="D169" s="9" t="s">
        <v>1413</v>
      </c>
      <c r="E169" s="12" t="s">
        <v>357</v>
      </c>
      <c r="F169" s="10" t="s">
        <v>22</v>
      </c>
      <c r="G169" s="10" t="s">
        <v>54</v>
      </c>
      <c r="H169" s="81" t="s">
        <v>358</v>
      </c>
      <c r="I169" s="12" t="s">
        <v>55</v>
      </c>
      <c r="J169" s="81" t="s">
        <v>359</v>
      </c>
      <c r="K169" s="10" t="s">
        <v>54</v>
      </c>
      <c r="L169" s="81" t="s">
        <v>360</v>
      </c>
      <c r="M169" s="10" t="s">
        <v>54</v>
      </c>
      <c r="N169" s="81" t="s">
        <v>361</v>
      </c>
      <c r="O169" s="9" t="s">
        <v>1421</v>
      </c>
      <c r="P169" s="11">
        <v>86</v>
      </c>
      <c r="Q169" s="7"/>
      <c r="R169" s="1"/>
    </row>
    <row r="170" spans="1:18" ht="68">
      <c r="A170" s="1"/>
      <c r="B170" s="6"/>
      <c r="C170" s="11">
        <f>SUBTOTAL(103,$D$4:D170)</f>
        <v>167</v>
      </c>
      <c r="D170" s="9" t="s">
        <v>1413</v>
      </c>
      <c r="E170" s="12" t="s">
        <v>362</v>
      </c>
      <c r="F170" s="10" t="s">
        <v>22</v>
      </c>
      <c r="G170" s="12" t="s">
        <v>55</v>
      </c>
      <c r="H170" s="80" t="s">
        <v>363</v>
      </c>
      <c r="I170" s="10" t="s">
        <v>54</v>
      </c>
      <c r="J170" s="12" t="s">
        <v>364</v>
      </c>
      <c r="K170" s="10" t="s">
        <v>54</v>
      </c>
      <c r="L170" s="12" t="s">
        <v>802</v>
      </c>
      <c r="M170" s="10" t="s">
        <v>54</v>
      </c>
      <c r="N170" s="80" t="s">
        <v>759</v>
      </c>
      <c r="O170" s="9"/>
      <c r="P170" s="11">
        <v>87</v>
      </c>
      <c r="Q170" s="7"/>
      <c r="R170" s="1"/>
    </row>
    <row r="171" spans="1:18" ht="102">
      <c r="A171" s="1"/>
      <c r="B171" s="6"/>
      <c r="C171" s="11">
        <f>SUBTOTAL(103,$D$4:D171)</f>
        <v>168</v>
      </c>
      <c r="D171" s="9" t="s">
        <v>1413</v>
      </c>
      <c r="E171" s="12" t="s">
        <v>365</v>
      </c>
      <c r="F171" s="10" t="s">
        <v>22</v>
      </c>
      <c r="G171" s="10" t="s">
        <v>54</v>
      </c>
      <c r="H171" s="80" t="s">
        <v>366</v>
      </c>
      <c r="I171" s="10" t="s">
        <v>54</v>
      </c>
      <c r="J171" s="12" t="s">
        <v>367</v>
      </c>
      <c r="K171" s="10" t="s">
        <v>54</v>
      </c>
      <c r="L171" s="12" t="s">
        <v>734</v>
      </c>
      <c r="M171" s="12" t="s">
        <v>55</v>
      </c>
      <c r="N171" s="80" t="s">
        <v>760</v>
      </c>
      <c r="O171" s="9" t="s">
        <v>1419</v>
      </c>
      <c r="P171" s="11">
        <v>88</v>
      </c>
      <c r="Q171" s="7"/>
      <c r="R171" s="1"/>
    </row>
    <row r="172" spans="1:18" ht="119">
      <c r="A172" s="1"/>
      <c r="B172" s="6"/>
      <c r="C172" s="11">
        <f>SUBTOTAL(103,$D$4:D172)</f>
        <v>169</v>
      </c>
      <c r="D172" s="9" t="s">
        <v>1413</v>
      </c>
      <c r="E172" s="12" t="s">
        <v>368</v>
      </c>
      <c r="F172" s="10" t="s">
        <v>22</v>
      </c>
      <c r="G172" s="10" t="s">
        <v>54</v>
      </c>
      <c r="H172" s="81" t="s">
        <v>369</v>
      </c>
      <c r="I172" s="10" t="s">
        <v>54</v>
      </c>
      <c r="J172" s="81" t="s">
        <v>370</v>
      </c>
      <c r="K172" s="12" t="s">
        <v>55</v>
      </c>
      <c r="L172" s="81" t="s">
        <v>371</v>
      </c>
      <c r="M172" s="10" t="s">
        <v>54</v>
      </c>
      <c r="N172" s="81" t="s">
        <v>372</v>
      </c>
      <c r="O172" s="9" t="s">
        <v>1858</v>
      </c>
      <c r="P172" s="11">
        <v>89</v>
      </c>
      <c r="Q172" s="7"/>
      <c r="R172" s="1"/>
    </row>
    <row r="173" spans="1:18" ht="51">
      <c r="A173" s="1"/>
      <c r="B173" s="6"/>
      <c r="C173" s="11">
        <f>SUBTOTAL(103,$D$4:D173)</f>
        <v>170</v>
      </c>
      <c r="D173" s="9" t="s">
        <v>1413</v>
      </c>
      <c r="E173" s="12" t="s">
        <v>373</v>
      </c>
      <c r="F173" s="10" t="s">
        <v>22</v>
      </c>
      <c r="G173" s="10" t="s">
        <v>54</v>
      </c>
      <c r="H173" s="80" t="s">
        <v>374</v>
      </c>
      <c r="I173" s="10" t="s">
        <v>54</v>
      </c>
      <c r="J173" s="12" t="s">
        <v>375</v>
      </c>
      <c r="K173" s="12" t="s">
        <v>55</v>
      </c>
      <c r="L173" s="12" t="s">
        <v>791</v>
      </c>
      <c r="M173" s="10" t="s">
        <v>54</v>
      </c>
      <c r="N173" s="80" t="s">
        <v>761</v>
      </c>
      <c r="O173" s="9"/>
      <c r="P173" s="11">
        <v>90</v>
      </c>
      <c r="Q173" s="7"/>
      <c r="R173" s="1"/>
    </row>
    <row r="174" spans="1:18" ht="51">
      <c r="A174" s="1"/>
      <c r="B174" s="6"/>
      <c r="C174" s="11">
        <f>SUBTOTAL(103,$D$4:D174)</f>
        <v>171</v>
      </c>
      <c r="D174" s="9" t="s">
        <v>1413</v>
      </c>
      <c r="E174" s="12" t="s">
        <v>376</v>
      </c>
      <c r="F174" s="10" t="s">
        <v>22</v>
      </c>
      <c r="G174" s="10" t="s">
        <v>54</v>
      </c>
      <c r="H174" s="80" t="s">
        <v>377</v>
      </c>
      <c r="I174" s="10" t="s">
        <v>54</v>
      </c>
      <c r="J174" s="12" t="s">
        <v>378</v>
      </c>
      <c r="K174" s="12" t="s">
        <v>55</v>
      </c>
      <c r="L174" s="12" t="s">
        <v>803</v>
      </c>
      <c r="M174" s="10" t="s">
        <v>54</v>
      </c>
      <c r="N174" s="80" t="s">
        <v>762</v>
      </c>
      <c r="O174" s="9"/>
      <c r="P174" s="11">
        <v>91</v>
      </c>
      <c r="Q174" s="7"/>
      <c r="R174" s="1"/>
    </row>
    <row r="175" spans="1:18" ht="68">
      <c r="A175" s="1"/>
      <c r="B175" s="6"/>
      <c r="C175" s="11">
        <f>SUBTOTAL(103,$D$4:D175)</f>
        <v>172</v>
      </c>
      <c r="D175" s="9" t="s">
        <v>1413</v>
      </c>
      <c r="E175" s="12" t="s">
        <v>379</v>
      </c>
      <c r="F175" s="10" t="s">
        <v>8</v>
      </c>
      <c r="G175" s="12" t="s">
        <v>55</v>
      </c>
      <c r="H175" s="80" t="s">
        <v>10</v>
      </c>
      <c r="I175" s="10" t="s">
        <v>54</v>
      </c>
      <c r="J175" s="12" t="s">
        <v>9</v>
      </c>
      <c r="K175" s="10" t="s">
        <v>54</v>
      </c>
      <c r="L175" s="81" t="s">
        <v>177</v>
      </c>
      <c r="M175" s="10" t="s">
        <v>54</v>
      </c>
      <c r="N175" s="81" t="s">
        <v>177</v>
      </c>
      <c r="O175" s="9"/>
      <c r="P175" s="11">
        <v>92</v>
      </c>
      <c r="Q175" s="7"/>
      <c r="R175" s="1"/>
    </row>
    <row r="176" spans="1:18" ht="85">
      <c r="A176" s="1"/>
      <c r="B176" s="6"/>
      <c r="C176" s="11">
        <f>SUBTOTAL(103,$D$4:D176)</f>
        <v>173</v>
      </c>
      <c r="D176" s="9" t="s">
        <v>1413</v>
      </c>
      <c r="E176" s="12" t="s">
        <v>380</v>
      </c>
      <c r="F176" s="10" t="s">
        <v>8</v>
      </c>
      <c r="G176" s="12" t="s">
        <v>55</v>
      </c>
      <c r="H176" s="80" t="s">
        <v>10</v>
      </c>
      <c r="I176" s="10" t="s">
        <v>54</v>
      </c>
      <c r="J176" s="12" t="s">
        <v>9</v>
      </c>
      <c r="K176" s="10" t="s">
        <v>54</v>
      </c>
      <c r="L176" s="81" t="s">
        <v>177</v>
      </c>
      <c r="M176" s="10" t="s">
        <v>54</v>
      </c>
      <c r="N176" s="81" t="s">
        <v>177</v>
      </c>
      <c r="O176" s="9" t="s">
        <v>1865</v>
      </c>
      <c r="P176" s="11">
        <v>93</v>
      </c>
      <c r="Q176" s="7"/>
      <c r="R176" s="1"/>
    </row>
    <row r="177" spans="1:18" ht="68">
      <c r="A177" s="1"/>
      <c r="B177" s="6"/>
      <c r="C177" s="11">
        <f>SUBTOTAL(103,$D$4:D177)</f>
        <v>174</v>
      </c>
      <c r="D177" s="9" t="s">
        <v>1413</v>
      </c>
      <c r="E177" s="12" t="s">
        <v>381</v>
      </c>
      <c r="F177" s="10" t="s">
        <v>8</v>
      </c>
      <c r="G177" s="10" t="s">
        <v>54</v>
      </c>
      <c r="H177" s="80" t="s">
        <v>10</v>
      </c>
      <c r="I177" s="12" t="s">
        <v>55</v>
      </c>
      <c r="J177" s="12" t="s">
        <v>9</v>
      </c>
      <c r="K177" s="10" t="s">
        <v>54</v>
      </c>
      <c r="L177" s="81" t="s">
        <v>177</v>
      </c>
      <c r="M177" s="10" t="s">
        <v>54</v>
      </c>
      <c r="N177" s="81" t="s">
        <v>177</v>
      </c>
      <c r="O177" s="9"/>
      <c r="P177" s="11">
        <v>94</v>
      </c>
      <c r="Q177" s="7"/>
      <c r="R177" s="1"/>
    </row>
    <row r="178" spans="1:18" ht="68">
      <c r="A178" s="1"/>
      <c r="B178" s="6"/>
      <c r="C178" s="11">
        <f>SUBTOTAL(103,$D$4:D178)</f>
        <v>175</v>
      </c>
      <c r="D178" s="9" t="s">
        <v>1413</v>
      </c>
      <c r="E178" s="12" t="s">
        <v>382</v>
      </c>
      <c r="F178" s="10" t="s">
        <v>8</v>
      </c>
      <c r="G178" s="12" t="s">
        <v>55</v>
      </c>
      <c r="H178" s="80" t="s">
        <v>10</v>
      </c>
      <c r="I178" s="10" t="s">
        <v>54</v>
      </c>
      <c r="J178" s="12" t="s">
        <v>9</v>
      </c>
      <c r="K178" s="10" t="s">
        <v>54</v>
      </c>
      <c r="L178" s="81" t="s">
        <v>177</v>
      </c>
      <c r="M178" s="10" t="s">
        <v>54</v>
      </c>
      <c r="N178" s="81" t="s">
        <v>177</v>
      </c>
      <c r="O178" s="9"/>
      <c r="P178" s="11">
        <v>95</v>
      </c>
      <c r="Q178" s="7"/>
      <c r="R178" s="1"/>
    </row>
    <row r="179" spans="1:18" ht="68">
      <c r="A179" s="1"/>
      <c r="B179" s="6"/>
      <c r="C179" s="11">
        <f>SUBTOTAL(103,$D$4:D179)</f>
        <v>176</v>
      </c>
      <c r="D179" s="9" t="s">
        <v>1413</v>
      </c>
      <c r="E179" s="12" t="s">
        <v>383</v>
      </c>
      <c r="F179" s="10" t="s">
        <v>8</v>
      </c>
      <c r="G179" s="12" t="s">
        <v>55</v>
      </c>
      <c r="H179" s="80" t="s">
        <v>10</v>
      </c>
      <c r="I179" s="10" t="s">
        <v>54</v>
      </c>
      <c r="J179" s="12" t="s">
        <v>9</v>
      </c>
      <c r="K179" s="10" t="s">
        <v>54</v>
      </c>
      <c r="L179" s="81" t="s">
        <v>177</v>
      </c>
      <c r="M179" s="10" t="s">
        <v>54</v>
      </c>
      <c r="N179" s="81" t="s">
        <v>177</v>
      </c>
      <c r="O179" s="9"/>
      <c r="P179" s="11">
        <v>96</v>
      </c>
      <c r="Q179" s="7"/>
      <c r="R179" s="1"/>
    </row>
    <row r="180" spans="1:18" ht="34">
      <c r="A180" s="1"/>
      <c r="B180" s="6"/>
      <c r="C180" s="11">
        <f>SUBTOTAL(103,$D$4:D180)</f>
        <v>177</v>
      </c>
      <c r="D180" s="9" t="s">
        <v>1413</v>
      </c>
      <c r="E180" s="12" t="s">
        <v>384</v>
      </c>
      <c r="F180" s="10" t="s">
        <v>8</v>
      </c>
      <c r="G180" s="12" t="s">
        <v>55</v>
      </c>
      <c r="H180" s="80" t="s">
        <v>10</v>
      </c>
      <c r="I180" s="10" t="s">
        <v>54</v>
      </c>
      <c r="J180" s="12" t="s">
        <v>9</v>
      </c>
      <c r="K180" s="10" t="s">
        <v>54</v>
      </c>
      <c r="L180" s="81" t="s">
        <v>177</v>
      </c>
      <c r="M180" s="10" t="s">
        <v>54</v>
      </c>
      <c r="N180" s="81" t="s">
        <v>177</v>
      </c>
      <c r="O180" s="9"/>
      <c r="P180" s="11">
        <v>97</v>
      </c>
      <c r="Q180" s="7"/>
      <c r="R180" s="1"/>
    </row>
    <row r="181" spans="1:18" ht="34">
      <c r="A181" s="1"/>
      <c r="B181" s="6"/>
      <c r="C181" s="11">
        <f>SUBTOTAL(103,$D$4:D181)</f>
        <v>178</v>
      </c>
      <c r="D181" s="9" t="s">
        <v>1413</v>
      </c>
      <c r="E181" s="12" t="s">
        <v>385</v>
      </c>
      <c r="F181" s="10" t="s">
        <v>8</v>
      </c>
      <c r="G181" s="12" t="s">
        <v>55</v>
      </c>
      <c r="H181" s="80" t="s">
        <v>10</v>
      </c>
      <c r="I181" s="10" t="s">
        <v>54</v>
      </c>
      <c r="J181" s="12" t="s">
        <v>9</v>
      </c>
      <c r="K181" s="10" t="s">
        <v>54</v>
      </c>
      <c r="L181" s="81" t="s">
        <v>177</v>
      </c>
      <c r="M181" s="10" t="s">
        <v>54</v>
      </c>
      <c r="N181" s="81" t="s">
        <v>177</v>
      </c>
      <c r="O181" s="9"/>
      <c r="P181" s="11">
        <v>98</v>
      </c>
      <c r="Q181" s="7"/>
      <c r="R181" s="1"/>
    </row>
    <row r="182" spans="1:18" ht="85">
      <c r="A182" s="1"/>
      <c r="B182" s="6"/>
      <c r="C182" s="11">
        <f>SUBTOTAL(103,$D$4:D182)</f>
        <v>179</v>
      </c>
      <c r="D182" s="9" t="s">
        <v>1413</v>
      </c>
      <c r="E182" s="12" t="s">
        <v>386</v>
      </c>
      <c r="F182" s="10" t="s">
        <v>8</v>
      </c>
      <c r="G182" s="10" t="s">
        <v>54</v>
      </c>
      <c r="H182" s="80" t="s">
        <v>10</v>
      </c>
      <c r="I182" s="12" t="s">
        <v>55</v>
      </c>
      <c r="J182" s="12" t="s">
        <v>9</v>
      </c>
      <c r="K182" s="10" t="s">
        <v>54</v>
      </c>
      <c r="L182" s="81" t="s">
        <v>177</v>
      </c>
      <c r="M182" s="10" t="s">
        <v>54</v>
      </c>
      <c r="N182" s="81" t="s">
        <v>177</v>
      </c>
      <c r="O182" s="9"/>
      <c r="P182" s="11">
        <v>99</v>
      </c>
      <c r="Q182" s="7"/>
      <c r="R182" s="1"/>
    </row>
    <row r="183" spans="1:18" ht="34">
      <c r="A183" s="1"/>
      <c r="B183" s="6"/>
      <c r="C183" s="11">
        <f>SUBTOTAL(103,$D$4:D183)</f>
        <v>180</v>
      </c>
      <c r="D183" s="9" t="s">
        <v>1413</v>
      </c>
      <c r="E183" s="12" t="s">
        <v>387</v>
      </c>
      <c r="F183" s="10" t="s">
        <v>8</v>
      </c>
      <c r="G183" s="12" t="s">
        <v>55</v>
      </c>
      <c r="H183" s="80" t="s">
        <v>10</v>
      </c>
      <c r="I183" s="10" t="s">
        <v>54</v>
      </c>
      <c r="J183" s="12" t="s">
        <v>9</v>
      </c>
      <c r="K183" s="10" t="s">
        <v>54</v>
      </c>
      <c r="L183" s="81" t="s">
        <v>177</v>
      </c>
      <c r="M183" s="10" t="s">
        <v>54</v>
      </c>
      <c r="N183" s="81" t="s">
        <v>177</v>
      </c>
      <c r="O183" s="9"/>
      <c r="P183" s="11">
        <v>100</v>
      </c>
      <c r="Q183" s="7"/>
      <c r="R183" s="1"/>
    </row>
    <row r="184" spans="1:18" ht="51">
      <c r="A184" s="1"/>
      <c r="B184" s="6"/>
      <c r="C184" s="11">
        <f>SUBTOTAL(103,$D$4:D184)</f>
        <v>181</v>
      </c>
      <c r="D184" s="9" t="s">
        <v>1413</v>
      </c>
      <c r="E184" s="12" t="s">
        <v>388</v>
      </c>
      <c r="F184" s="10" t="s">
        <v>8</v>
      </c>
      <c r="G184" s="10" t="s">
        <v>54</v>
      </c>
      <c r="H184" s="80" t="s">
        <v>10</v>
      </c>
      <c r="I184" s="12" t="s">
        <v>55</v>
      </c>
      <c r="J184" s="12" t="s">
        <v>9</v>
      </c>
      <c r="K184" s="10" t="s">
        <v>54</v>
      </c>
      <c r="L184" s="81" t="s">
        <v>177</v>
      </c>
      <c r="M184" s="10" t="s">
        <v>54</v>
      </c>
      <c r="N184" s="81" t="s">
        <v>177</v>
      </c>
      <c r="O184" s="9"/>
      <c r="P184" s="11">
        <v>101</v>
      </c>
      <c r="Q184" s="7"/>
      <c r="R184" s="1"/>
    </row>
    <row r="185" spans="1:18" ht="51">
      <c r="A185" s="1"/>
      <c r="B185" s="6"/>
      <c r="C185" s="11">
        <f>SUBTOTAL(103,$D$4:D185)</f>
        <v>182</v>
      </c>
      <c r="D185" s="9" t="s">
        <v>1413</v>
      </c>
      <c r="E185" s="12" t="s">
        <v>389</v>
      </c>
      <c r="F185" s="10" t="s">
        <v>8</v>
      </c>
      <c r="G185" s="12" t="s">
        <v>55</v>
      </c>
      <c r="H185" s="80" t="s">
        <v>10</v>
      </c>
      <c r="I185" s="10" t="s">
        <v>54</v>
      </c>
      <c r="J185" s="12" t="s">
        <v>9</v>
      </c>
      <c r="K185" s="10" t="s">
        <v>54</v>
      </c>
      <c r="L185" s="81" t="s">
        <v>177</v>
      </c>
      <c r="M185" s="10" t="s">
        <v>54</v>
      </c>
      <c r="N185" s="81" t="s">
        <v>177</v>
      </c>
      <c r="O185" s="9"/>
      <c r="P185" s="11">
        <v>102</v>
      </c>
      <c r="Q185" s="7"/>
      <c r="R185" s="1"/>
    </row>
    <row r="186" spans="1:18" ht="34">
      <c r="A186" s="1"/>
      <c r="B186" s="6"/>
      <c r="C186" s="11">
        <f>SUBTOTAL(103,$D$4:D186)</f>
        <v>183</v>
      </c>
      <c r="D186" s="9" t="s">
        <v>1413</v>
      </c>
      <c r="E186" s="12" t="s">
        <v>390</v>
      </c>
      <c r="F186" s="10" t="s">
        <v>8</v>
      </c>
      <c r="G186" s="12" t="s">
        <v>55</v>
      </c>
      <c r="H186" s="80" t="s">
        <v>10</v>
      </c>
      <c r="I186" s="10" t="s">
        <v>54</v>
      </c>
      <c r="J186" s="12" t="s">
        <v>9</v>
      </c>
      <c r="K186" s="10" t="s">
        <v>54</v>
      </c>
      <c r="L186" s="81" t="s">
        <v>177</v>
      </c>
      <c r="M186" s="10" t="s">
        <v>54</v>
      </c>
      <c r="N186" s="81" t="s">
        <v>177</v>
      </c>
      <c r="O186" s="9"/>
      <c r="P186" s="11">
        <v>103</v>
      </c>
      <c r="Q186" s="7"/>
      <c r="R186" s="1"/>
    </row>
    <row r="187" spans="1:18" ht="102">
      <c r="A187" s="1"/>
      <c r="B187" s="6"/>
      <c r="C187" s="11">
        <f>SUBTOTAL(103,$D$4:D187)</f>
        <v>184</v>
      </c>
      <c r="D187" s="9" t="s">
        <v>1413</v>
      </c>
      <c r="E187" s="12" t="s">
        <v>391</v>
      </c>
      <c r="F187" s="10" t="s">
        <v>8</v>
      </c>
      <c r="G187" s="10" t="s">
        <v>54</v>
      </c>
      <c r="H187" s="80" t="s">
        <v>10</v>
      </c>
      <c r="I187" s="12" t="s">
        <v>55</v>
      </c>
      <c r="J187" s="12" t="s">
        <v>9</v>
      </c>
      <c r="K187" s="10" t="s">
        <v>54</v>
      </c>
      <c r="L187" s="81" t="s">
        <v>177</v>
      </c>
      <c r="M187" s="10" t="s">
        <v>54</v>
      </c>
      <c r="N187" s="81" t="s">
        <v>177</v>
      </c>
      <c r="O187" s="9"/>
      <c r="P187" s="11">
        <v>104</v>
      </c>
      <c r="Q187" s="7"/>
      <c r="R187" s="1"/>
    </row>
    <row r="188" spans="1:18" ht="102">
      <c r="A188" s="1"/>
      <c r="B188" s="6"/>
      <c r="C188" s="11">
        <f>SUBTOTAL(103,$D$4:D188)</f>
        <v>185</v>
      </c>
      <c r="D188" s="9" t="s">
        <v>1413</v>
      </c>
      <c r="E188" s="12" t="s">
        <v>392</v>
      </c>
      <c r="F188" s="10" t="s">
        <v>12</v>
      </c>
      <c r="G188" s="10" t="s">
        <v>54</v>
      </c>
      <c r="H188" s="80" t="s">
        <v>393</v>
      </c>
      <c r="I188" s="12" t="s">
        <v>55</v>
      </c>
      <c r="J188" s="12" t="s">
        <v>394</v>
      </c>
      <c r="K188" s="10" t="s">
        <v>54</v>
      </c>
      <c r="L188" s="12" t="s">
        <v>691</v>
      </c>
      <c r="M188" s="12" t="s">
        <v>55</v>
      </c>
      <c r="N188" s="80" t="s">
        <v>763</v>
      </c>
      <c r="O188" s="9"/>
      <c r="P188" s="11">
        <v>105</v>
      </c>
      <c r="Q188" s="7"/>
      <c r="R188" s="1"/>
    </row>
    <row r="189" spans="1:18" ht="136">
      <c r="A189" s="1"/>
      <c r="B189" s="6"/>
      <c r="C189" s="11">
        <f>SUBTOTAL(103,$D$4:D189)</f>
        <v>186</v>
      </c>
      <c r="D189" s="9" t="s">
        <v>1413</v>
      </c>
      <c r="E189" s="12" t="s">
        <v>395</v>
      </c>
      <c r="F189" s="10" t="s">
        <v>12</v>
      </c>
      <c r="G189" s="12" t="s">
        <v>55</v>
      </c>
      <c r="H189" s="80" t="s">
        <v>396</v>
      </c>
      <c r="I189" s="12" t="s">
        <v>55</v>
      </c>
      <c r="J189" s="12" t="s">
        <v>397</v>
      </c>
      <c r="K189" s="12" t="s">
        <v>55</v>
      </c>
      <c r="L189" s="12" t="s">
        <v>692</v>
      </c>
      <c r="M189" s="10" t="s">
        <v>54</v>
      </c>
      <c r="N189" s="80" t="s">
        <v>764</v>
      </c>
      <c r="O189" s="9"/>
      <c r="P189" s="11">
        <v>106</v>
      </c>
      <c r="Q189" s="7"/>
      <c r="R189" s="1"/>
    </row>
    <row r="190" spans="1:18" ht="51">
      <c r="A190" s="1"/>
      <c r="B190" s="6"/>
      <c r="C190" s="11">
        <f>SUBTOTAL(103,$D$4:D190)</f>
        <v>187</v>
      </c>
      <c r="D190" s="9" t="s">
        <v>1413</v>
      </c>
      <c r="E190" s="12" t="s">
        <v>398</v>
      </c>
      <c r="F190" s="10" t="s">
        <v>12</v>
      </c>
      <c r="G190" s="12" t="s">
        <v>55</v>
      </c>
      <c r="H190" s="80" t="s">
        <v>399</v>
      </c>
      <c r="I190" s="10" t="s">
        <v>54</v>
      </c>
      <c r="J190" s="12" t="s">
        <v>400</v>
      </c>
      <c r="K190" s="10" t="s">
        <v>54</v>
      </c>
      <c r="L190" s="12" t="s">
        <v>693</v>
      </c>
      <c r="M190" s="12" t="s">
        <v>55</v>
      </c>
      <c r="N190" s="80" t="s">
        <v>765</v>
      </c>
      <c r="O190" s="9"/>
      <c r="P190" s="11">
        <v>107</v>
      </c>
      <c r="Q190" s="7"/>
      <c r="R190" s="1"/>
    </row>
    <row r="191" spans="1:18" ht="34">
      <c r="A191" s="1"/>
      <c r="B191" s="6"/>
      <c r="C191" s="11">
        <f>SUBTOTAL(103,$D$4:D191)</f>
        <v>188</v>
      </c>
      <c r="D191" s="9" t="s">
        <v>1413</v>
      </c>
      <c r="E191" s="12" t="s">
        <v>2283</v>
      </c>
      <c r="F191" s="10" t="s">
        <v>12</v>
      </c>
      <c r="G191" s="10" t="s">
        <v>54</v>
      </c>
      <c r="H191" s="80" t="s">
        <v>401</v>
      </c>
      <c r="I191" s="10" t="s">
        <v>54</v>
      </c>
      <c r="J191" s="12" t="s">
        <v>402</v>
      </c>
      <c r="K191" s="12" t="s">
        <v>55</v>
      </c>
      <c r="L191" s="12" t="s">
        <v>694</v>
      </c>
      <c r="M191" s="12" t="s">
        <v>55</v>
      </c>
      <c r="N191" s="80" t="s">
        <v>766</v>
      </c>
      <c r="O191" s="9"/>
      <c r="P191" s="11">
        <v>108</v>
      </c>
      <c r="Q191" s="7"/>
      <c r="R191" s="1"/>
    </row>
    <row r="192" spans="1:18" ht="85">
      <c r="A192" s="1"/>
      <c r="B192" s="6"/>
      <c r="C192" s="11">
        <f>SUBTOTAL(103,$D$4:D192)</f>
        <v>189</v>
      </c>
      <c r="D192" s="9" t="s">
        <v>1413</v>
      </c>
      <c r="E192" s="12" t="s">
        <v>403</v>
      </c>
      <c r="F192" s="10" t="s">
        <v>22</v>
      </c>
      <c r="G192" s="10" t="s">
        <v>54</v>
      </c>
      <c r="H192" s="80" t="s">
        <v>404</v>
      </c>
      <c r="I192" s="12" t="s">
        <v>55</v>
      </c>
      <c r="J192" s="12" t="s">
        <v>405</v>
      </c>
      <c r="K192" s="10" t="s">
        <v>54</v>
      </c>
      <c r="L192" s="12" t="s">
        <v>695</v>
      </c>
      <c r="M192" s="10" t="s">
        <v>54</v>
      </c>
      <c r="N192" s="80" t="s">
        <v>767</v>
      </c>
      <c r="O192" s="9"/>
      <c r="P192" s="11">
        <v>109</v>
      </c>
      <c r="Q192" s="7"/>
      <c r="R192" s="1"/>
    </row>
    <row r="193" spans="1:18" ht="68">
      <c r="A193" s="1"/>
      <c r="B193" s="6"/>
      <c r="C193" s="11">
        <f>SUBTOTAL(103,$D$4:D193)</f>
        <v>190</v>
      </c>
      <c r="D193" s="9" t="s">
        <v>1413</v>
      </c>
      <c r="E193" s="12" t="s">
        <v>406</v>
      </c>
      <c r="F193" s="10" t="s">
        <v>22</v>
      </c>
      <c r="G193" s="10" t="s">
        <v>54</v>
      </c>
      <c r="H193" s="80" t="s">
        <v>407</v>
      </c>
      <c r="I193" s="12" t="s">
        <v>55</v>
      </c>
      <c r="J193" s="12" t="s">
        <v>408</v>
      </c>
      <c r="K193" s="10" t="s">
        <v>54</v>
      </c>
      <c r="L193" s="12" t="s">
        <v>696</v>
      </c>
      <c r="M193" s="10" t="s">
        <v>54</v>
      </c>
      <c r="N193" s="80" t="s">
        <v>768</v>
      </c>
      <c r="O193" s="9"/>
      <c r="P193" s="11">
        <v>110</v>
      </c>
      <c r="Q193" s="7"/>
      <c r="R193" s="1"/>
    </row>
    <row r="194" spans="1:18" ht="34">
      <c r="A194" s="1"/>
      <c r="B194" s="6"/>
      <c r="C194" s="11">
        <f>SUBTOTAL(103,$D$4:D194)</f>
        <v>191</v>
      </c>
      <c r="D194" s="9" t="s">
        <v>1413</v>
      </c>
      <c r="E194" s="12" t="s">
        <v>409</v>
      </c>
      <c r="F194" s="10" t="s">
        <v>22</v>
      </c>
      <c r="G194" s="10" t="s">
        <v>54</v>
      </c>
      <c r="H194" s="80" t="s">
        <v>410</v>
      </c>
      <c r="I194" s="10" t="s">
        <v>54</v>
      </c>
      <c r="J194" s="12" t="s">
        <v>411</v>
      </c>
      <c r="K194" s="12" t="s">
        <v>55</v>
      </c>
      <c r="L194" s="12" t="s">
        <v>697</v>
      </c>
      <c r="M194" s="10" t="s">
        <v>54</v>
      </c>
      <c r="N194" s="80" t="s">
        <v>769</v>
      </c>
      <c r="O194" s="9"/>
      <c r="P194" s="11">
        <v>111</v>
      </c>
      <c r="Q194" s="7"/>
      <c r="R194" s="1"/>
    </row>
    <row r="195" spans="1:18" ht="102">
      <c r="A195" s="1"/>
      <c r="B195" s="6"/>
      <c r="C195" s="11">
        <f>SUBTOTAL(103,$D$4:D195)</f>
        <v>192</v>
      </c>
      <c r="D195" s="9" t="s">
        <v>1413</v>
      </c>
      <c r="E195" s="12" t="s">
        <v>412</v>
      </c>
      <c r="F195" s="10" t="s">
        <v>22</v>
      </c>
      <c r="G195" s="10" t="s">
        <v>54</v>
      </c>
      <c r="H195" s="81" t="s">
        <v>413</v>
      </c>
      <c r="I195" s="10" t="s">
        <v>54</v>
      </c>
      <c r="J195" s="81" t="s">
        <v>414</v>
      </c>
      <c r="K195" s="12" t="s">
        <v>55</v>
      </c>
      <c r="L195" s="81" t="s">
        <v>698</v>
      </c>
      <c r="M195" s="10" t="s">
        <v>54</v>
      </c>
      <c r="N195" s="81" t="s">
        <v>770</v>
      </c>
      <c r="O195" s="9" t="s">
        <v>1901</v>
      </c>
      <c r="P195" s="11">
        <v>112</v>
      </c>
      <c r="Q195" s="7"/>
      <c r="R195" s="1"/>
    </row>
    <row r="196" spans="1:18" ht="119">
      <c r="A196" s="1"/>
      <c r="B196" s="6"/>
      <c r="C196" s="11">
        <f>SUBTOTAL(103,$D$4:D196)</f>
        <v>193</v>
      </c>
      <c r="D196" s="9" t="s">
        <v>1413</v>
      </c>
      <c r="E196" s="12" t="s">
        <v>2401</v>
      </c>
      <c r="F196" s="10" t="s">
        <v>22</v>
      </c>
      <c r="G196" s="10" t="s">
        <v>54</v>
      </c>
      <c r="H196" s="81" t="s">
        <v>2403</v>
      </c>
      <c r="I196" s="12" t="s">
        <v>55</v>
      </c>
      <c r="J196" s="81" t="s">
        <v>2404</v>
      </c>
      <c r="K196" s="10" t="s">
        <v>54</v>
      </c>
      <c r="L196" s="81" t="s">
        <v>2405</v>
      </c>
      <c r="M196" s="10" t="s">
        <v>54</v>
      </c>
      <c r="N196" s="81" t="s">
        <v>2406</v>
      </c>
      <c r="O196" s="9" t="s">
        <v>2402</v>
      </c>
      <c r="P196" s="11"/>
      <c r="Q196" s="7"/>
      <c r="R196" s="1"/>
    </row>
    <row r="197" spans="1:18" ht="136">
      <c r="A197" s="1"/>
      <c r="B197" s="6"/>
      <c r="C197" s="11">
        <f>SUBTOTAL(103,$D$4:D197)</f>
        <v>194</v>
      </c>
      <c r="D197" s="9" t="s">
        <v>1413</v>
      </c>
      <c r="E197" s="12" t="s">
        <v>415</v>
      </c>
      <c r="F197" s="10" t="s">
        <v>22</v>
      </c>
      <c r="G197" s="10" t="s">
        <v>54</v>
      </c>
      <c r="H197" s="81" t="s">
        <v>416</v>
      </c>
      <c r="I197" s="10" t="s">
        <v>54</v>
      </c>
      <c r="J197" s="81" t="s">
        <v>417</v>
      </c>
      <c r="K197" s="12" t="s">
        <v>55</v>
      </c>
      <c r="L197" s="81" t="s">
        <v>418</v>
      </c>
      <c r="M197" s="10" t="s">
        <v>54</v>
      </c>
      <c r="N197" s="81" t="s">
        <v>419</v>
      </c>
      <c r="O197" s="9" t="s">
        <v>2400</v>
      </c>
      <c r="P197" s="11">
        <v>113</v>
      </c>
      <c r="Q197" s="7"/>
      <c r="R197" s="1"/>
    </row>
    <row r="198" spans="1:18" ht="170">
      <c r="A198" s="1"/>
      <c r="B198" s="6"/>
      <c r="C198" s="11">
        <f>SUBTOTAL(103,$D$4:D198)</f>
        <v>195</v>
      </c>
      <c r="D198" s="9" t="s">
        <v>1413</v>
      </c>
      <c r="E198" s="12" t="s">
        <v>2284</v>
      </c>
      <c r="F198" s="10" t="s">
        <v>22</v>
      </c>
      <c r="G198" s="10" t="s">
        <v>54</v>
      </c>
      <c r="H198" s="81" t="s">
        <v>420</v>
      </c>
      <c r="I198" s="10" t="s">
        <v>54</v>
      </c>
      <c r="J198" s="81" t="s">
        <v>421</v>
      </c>
      <c r="K198" s="12" t="s">
        <v>55</v>
      </c>
      <c r="L198" s="81" t="s">
        <v>422</v>
      </c>
      <c r="M198" s="10" t="s">
        <v>54</v>
      </c>
      <c r="N198" s="81" t="s">
        <v>423</v>
      </c>
      <c r="O198" s="9" t="s">
        <v>2395</v>
      </c>
      <c r="P198" s="11">
        <v>114</v>
      </c>
      <c r="Q198" s="7"/>
      <c r="R198" s="1"/>
    </row>
    <row r="199" spans="1:18" ht="85">
      <c r="A199" s="1"/>
      <c r="B199" s="6"/>
      <c r="C199" s="11">
        <f>SUBTOTAL(103,$D$4:D199)</f>
        <v>196</v>
      </c>
      <c r="D199" s="9" t="s">
        <v>1413</v>
      </c>
      <c r="E199" s="12" t="s">
        <v>424</v>
      </c>
      <c r="F199" s="10" t="s">
        <v>22</v>
      </c>
      <c r="G199" s="12" t="s">
        <v>55</v>
      </c>
      <c r="H199" s="80" t="s">
        <v>425</v>
      </c>
      <c r="I199" s="10" t="s">
        <v>54</v>
      </c>
      <c r="J199" s="12" t="s">
        <v>426</v>
      </c>
      <c r="K199" s="10" t="s">
        <v>54</v>
      </c>
      <c r="L199" s="12" t="s">
        <v>699</v>
      </c>
      <c r="M199" s="10" t="s">
        <v>54</v>
      </c>
      <c r="N199" s="80" t="s">
        <v>771</v>
      </c>
      <c r="O199" s="9"/>
      <c r="P199" s="11">
        <v>115</v>
      </c>
      <c r="Q199" s="7"/>
      <c r="R199" s="1"/>
    </row>
    <row r="200" spans="1:18" ht="85">
      <c r="A200" s="1"/>
      <c r="B200" s="6"/>
      <c r="C200" s="11">
        <f>SUBTOTAL(103,$D$4:D200)</f>
        <v>197</v>
      </c>
      <c r="D200" s="9" t="s">
        <v>1413</v>
      </c>
      <c r="E200" s="12" t="s">
        <v>427</v>
      </c>
      <c r="F200" s="10" t="s">
        <v>22</v>
      </c>
      <c r="G200" s="10" t="s">
        <v>54</v>
      </c>
      <c r="H200" s="80" t="s">
        <v>428</v>
      </c>
      <c r="I200" s="12" t="s">
        <v>55</v>
      </c>
      <c r="J200" s="12" t="s">
        <v>429</v>
      </c>
      <c r="K200" s="10" t="s">
        <v>54</v>
      </c>
      <c r="L200" s="12" t="s">
        <v>700</v>
      </c>
      <c r="M200" s="10" t="s">
        <v>54</v>
      </c>
      <c r="N200" s="80" t="s">
        <v>772</v>
      </c>
      <c r="O200" s="9" t="s">
        <v>1866</v>
      </c>
      <c r="P200" s="11">
        <v>116</v>
      </c>
      <c r="Q200" s="7"/>
      <c r="R200" s="1"/>
    </row>
    <row r="201" spans="1:18" ht="119">
      <c r="A201" s="1"/>
      <c r="B201" s="6"/>
      <c r="C201" s="11">
        <f>SUBTOTAL(103,$D$4:D201)</f>
        <v>198</v>
      </c>
      <c r="D201" s="9" t="s">
        <v>1413</v>
      </c>
      <c r="E201" s="12" t="s">
        <v>430</v>
      </c>
      <c r="F201" s="10" t="s">
        <v>22</v>
      </c>
      <c r="G201" s="12" t="s">
        <v>55</v>
      </c>
      <c r="H201" s="80" t="s">
        <v>431</v>
      </c>
      <c r="I201" s="10" t="s">
        <v>54</v>
      </c>
      <c r="J201" s="12" t="s">
        <v>432</v>
      </c>
      <c r="K201" s="10" t="s">
        <v>54</v>
      </c>
      <c r="L201" s="12" t="s">
        <v>701</v>
      </c>
      <c r="M201" s="10" t="s">
        <v>54</v>
      </c>
      <c r="N201" s="80" t="s">
        <v>773</v>
      </c>
      <c r="O201" s="9" t="s">
        <v>1867</v>
      </c>
      <c r="P201" s="11">
        <v>117</v>
      </c>
      <c r="Q201" s="7"/>
      <c r="R201" s="1"/>
    </row>
    <row r="202" spans="1:18" ht="51">
      <c r="A202" s="1"/>
      <c r="B202" s="6"/>
      <c r="C202" s="11">
        <f>SUBTOTAL(103,$D$4:D202)</f>
        <v>199</v>
      </c>
      <c r="D202" s="9" t="s">
        <v>1413</v>
      </c>
      <c r="E202" s="12" t="s">
        <v>433</v>
      </c>
      <c r="F202" s="10" t="s">
        <v>22</v>
      </c>
      <c r="G202" s="10" t="s">
        <v>54</v>
      </c>
      <c r="H202" s="80" t="s">
        <v>434</v>
      </c>
      <c r="I202" s="12" t="s">
        <v>55</v>
      </c>
      <c r="J202" s="12" t="s">
        <v>435</v>
      </c>
      <c r="K202" s="10" t="s">
        <v>54</v>
      </c>
      <c r="L202" s="12" t="s">
        <v>702</v>
      </c>
      <c r="M202" s="10" t="s">
        <v>54</v>
      </c>
      <c r="N202" s="80" t="s">
        <v>768</v>
      </c>
      <c r="O202" s="9"/>
      <c r="P202" s="11">
        <v>118</v>
      </c>
      <c r="Q202" s="7"/>
      <c r="R202" s="1"/>
    </row>
    <row r="203" spans="1:18" ht="68">
      <c r="A203" s="1"/>
      <c r="B203" s="6"/>
      <c r="C203" s="11">
        <f>SUBTOTAL(103,$D$4:D203)</f>
        <v>200</v>
      </c>
      <c r="D203" s="9" t="s">
        <v>1413</v>
      </c>
      <c r="E203" s="12" t="s">
        <v>436</v>
      </c>
      <c r="F203" s="10" t="s">
        <v>22</v>
      </c>
      <c r="G203" s="10" t="s">
        <v>54</v>
      </c>
      <c r="H203" s="80" t="s">
        <v>437</v>
      </c>
      <c r="I203" s="10" t="s">
        <v>54</v>
      </c>
      <c r="J203" s="80" t="s">
        <v>438</v>
      </c>
      <c r="K203" s="12" t="s">
        <v>55</v>
      </c>
      <c r="L203" s="80" t="s">
        <v>439</v>
      </c>
      <c r="M203" s="10" t="s">
        <v>54</v>
      </c>
      <c r="N203" s="80" t="s">
        <v>440</v>
      </c>
      <c r="O203" s="9" t="s">
        <v>1868</v>
      </c>
      <c r="P203" s="11">
        <v>119</v>
      </c>
      <c r="Q203" s="7"/>
      <c r="R203" s="1"/>
    </row>
    <row r="204" spans="1:18" ht="34">
      <c r="A204" s="1"/>
      <c r="B204" s="6"/>
      <c r="C204" s="11">
        <f>SUBTOTAL(103,$D$4:D204)</f>
        <v>201</v>
      </c>
      <c r="D204" s="9" t="s">
        <v>1413</v>
      </c>
      <c r="E204" s="12" t="s">
        <v>441</v>
      </c>
      <c r="F204" s="10" t="s">
        <v>22</v>
      </c>
      <c r="G204" s="12" t="s">
        <v>55</v>
      </c>
      <c r="H204" s="12">
        <v>3</v>
      </c>
      <c r="I204" s="10" t="s">
        <v>54</v>
      </c>
      <c r="J204" s="12">
        <v>9</v>
      </c>
      <c r="K204" s="10" t="s">
        <v>54</v>
      </c>
      <c r="L204" s="12">
        <v>12</v>
      </c>
      <c r="M204" s="10" t="s">
        <v>54</v>
      </c>
      <c r="N204" s="12">
        <v>36</v>
      </c>
      <c r="O204" s="9" t="s">
        <v>1869</v>
      </c>
      <c r="P204" s="11">
        <v>120</v>
      </c>
      <c r="Q204" s="7"/>
      <c r="R204" s="1"/>
    </row>
    <row r="205" spans="1:18" ht="85">
      <c r="A205" s="1"/>
      <c r="B205" s="6"/>
      <c r="C205" s="11">
        <f>SUBTOTAL(103,$D$4:D205)</f>
        <v>202</v>
      </c>
      <c r="D205" s="9" t="s">
        <v>1413</v>
      </c>
      <c r="E205" s="12" t="s">
        <v>2333</v>
      </c>
      <c r="F205" s="10" t="s">
        <v>22</v>
      </c>
      <c r="G205" s="10" t="s">
        <v>54</v>
      </c>
      <c r="H205" s="81" t="s">
        <v>442</v>
      </c>
      <c r="I205" s="10" t="s">
        <v>54</v>
      </c>
      <c r="J205" s="81" t="s">
        <v>443</v>
      </c>
      <c r="K205" s="12" t="s">
        <v>55</v>
      </c>
      <c r="L205" s="81" t="s">
        <v>703</v>
      </c>
      <c r="M205" s="10" t="s">
        <v>54</v>
      </c>
      <c r="N205" s="81" t="s">
        <v>774</v>
      </c>
      <c r="O205" s="9" t="s">
        <v>1870</v>
      </c>
      <c r="P205" s="11">
        <v>121</v>
      </c>
      <c r="Q205" s="7"/>
      <c r="R205" s="1"/>
    </row>
    <row r="206" spans="1:18" ht="85">
      <c r="A206" s="1"/>
      <c r="B206" s="6"/>
      <c r="C206" s="11">
        <f>SUBTOTAL(103,$D$4:D206)</f>
        <v>203</v>
      </c>
      <c r="D206" s="9" t="s">
        <v>1413</v>
      </c>
      <c r="E206" s="12" t="s">
        <v>2285</v>
      </c>
      <c r="F206" s="10" t="s">
        <v>22</v>
      </c>
      <c r="G206" s="12" t="s">
        <v>55</v>
      </c>
      <c r="H206" s="81" t="s">
        <v>1872</v>
      </c>
      <c r="I206" s="10" t="s">
        <v>54</v>
      </c>
      <c r="J206" s="81" t="s">
        <v>444</v>
      </c>
      <c r="K206" s="10" t="s">
        <v>54</v>
      </c>
      <c r="L206" s="81" t="s">
        <v>445</v>
      </c>
      <c r="M206" s="10" t="s">
        <v>54</v>
      </c>
      <c r="N206" s="81" t="s">
        <v>414</v>
      </c>
      <c r="O206" s="9" t="s">
        <v>1871</v>
      </c>
      <c r="P206" s="11">
        <v>122</v>
      </c>
      <c r="Q206" s="7"/>
      <c r="R206" s="1"/>
    </row>
    <row r="207" spans="1:18" ht="68">
      <c r="A207" s="1"/>
      <c r="B207" s="6"/>
      <c r="C207" s="11">
        <f>SUBTOTAL(103,$D$4:D207)</f>
        <v>204</v>
      </c>
      <c r="D207" s="9" t="s">
        <v>1413</v>
      </c>
      <c r="E207" s="12" t="s">
        <v>446</v>
      </c>
      <c r="F207" s="10" t="s">
        <v>22</v>
      </c>
      <c r="G207" s="10" t="s">
        <v>54</v>
      </c>
      <c r="H207" s="81" t="s">
        <v>447</v>
      </c>
      <c r="I207" s="10" t="s">
        <v>54</v>
      </c>
      <c r="J207" s="81" t="s">
        <v>448</v>
      </c>
      <c r="K207" s="12" t="s">
        <v>55</v>
      </c>
      <c r="L207" s="81" t="s">
        <v>449</v>
      </c>
      <c r="M207" s="10" t="s">
        <v>54</v>
      </c>
      <c r="N207" s="81" t="s">
        <v>450</v>
      </c>
      <c r="O207" s="9" t="s">
        <v>1873</v>
      </c>
      <c r="P207" s="11">
        <v>123</v>
      </c>
      <c r="Q207" s="7"/>
      <c r="R207" s="1"/>
    </row>
    <row r="208" spans="1:18" ht="68">
      <c r="A208" s="1"/>
      <c r="B208" s="6"/>
      <c r="C208" s="11">
        <f>SUBTOTAL(103,$D$4:D208)</f>
        <v>205</v>
      </c>
      <c r="D208" s="9" t="s">
        <v>1413</v>
      </c>
      <c r="E208" s="12" t="s">
        <v>451</v>
      </c>
      <c r="F208" s="10" t="s">
        <v>22</v>
      </c>
      <c r="G208" s="10" t="s">
        <v>54</v>
      </c>
      <c r="H208" s="81" t="s">
        <v>452</v>
      </c>
      <c r="I208" s="12" t="s">
        <v>55</v>
      </c>
      <c r="J208" s="81" t="s">
        <v>453</v>
      </c>
      <c r="K208" s="10" t="s">
        <v>54</v>
      </c>
      <c r="L208" s="81" t="s">
        <v>704</v>
      </c>
      <c r="M208" s="10" t="s">
        <v>54</v>
      </c>
      <c r="N208" s="81" t="s">
        <v>775</v>
      </c>
      <c r="O208" s="9" t="s">
        <v>1874</v>
      </c>
      <c r="P208" s="11">
        <v>124</v>
      </c>
      <c r="Q208" s="7"/>
      <c r="R208" s="1"/>
    </row>
    <row r="209" spans="1:18" ht="51">
      <c r="A209" s="1"/>
      <c r="B209" s="6"/>
      <c r="C209" s="11">
        <f>SUBTOTAL(103,$D$4:D209)</f>
        <v>206</v>
      </c>
      <c r="D209" s="9" t="s">
        <v>1413</v>
      </c>
      <c r="E209" s="12" t="s">
        <v>454</v>
      </c>
      <c r="F209" s="10" t="s">
        <v>22</v>
      </c>
      <c r="G209" s="10" t="s">
        <v>54</v>
      </c>
      <c r="H209" s="81" t="s">
        <v>455</v>
      </c>
      <c r="I209" s="10" t="s">
        <v>54</v>
      </c>
      <c r="J209" s="81" t="s">
        <v>456</v>
      </c>
      <c r="K209" s="12" t="s">
        <v>55</v>
      </c>
      <c r="L209" s="81" t="s">
        <v>705</v>
      </c>
      <c r="M209" s="10" t="s">
        <v>54</v>
      </c>
      <c r="N209" s="81" t="s">
        <v>776</v>
      </c>
      <c r="O209" s="9" t="s">
        <v>1875</v>
      </c>
      <c r="P209" s="11">
        <v>125</v>
      </c>
      <c r="Q209" s="7"/>
      <c r="R209" s="1"/>
    </row>
    <row r="210" spans="1:18" ht="102">
      <c r="A210" s="1"/>
      <c r="B210" s="6"/>
      <c r="C210" s="11">
        <f>SUBTOTAL(103,$D$4:D210)</f>
        <v>207</v>
      </c>
      <c r="D210" s="9" t="s">
        <v>1413</v>
      </c>
      <c r="E210" s="12" t="s">
        <v>457</v>
      </c>
      <c r="F210" s="10" t="s">
        <v>22</v>
      </c>
      <c r="G210" s="12" t="s">
        <v>55</v>
      </c>
      <c r="H210" s="81" t="s">
        <v>458</v>
      </c>
      <c r="I210" s="10" t="s">
        <v>54</v>
      </c>
      <c r="J210" s="81" t="s">
        <v>459</v>
      </c>
      <c r="K210" s="10" t="s">
        <v>54</v>
      </c>
      <c r="L210" s="81" t="s">
        <v>706</v>
      </c>
      <c r="M210" s="10" t="s">
        <v>54</v>
      </c>
      <c r="N210" s="81" t="s">
        <v>476</v>
      </c>
      <c r="O210" s="9" t="s">
        <v>1882</v>
      </c>
      <c r="P210" s="11">
        <v>126</v>
      </c>
      <c r="Q210" s="7"/>
      <c r="R210" s="1"/>
    </row>
    <row r="211" spans="1:18" ht="68">
      <c r="A211" s="1"/>
      <c r="B211" s="6"/>
      <c r="C211" s="11">
        <f>SUBTOTAL(103,$D$4:D211)</f>
        <v>208</v>
      </c>
      <c r="D211" s="9" t="s">
        <v>1413</v>
      </c>
      <c r="E211" s="12" t="s">
        <v>460</v>
      </c>
      <c r="F211" s="10" t="s">
        <v>22</v>
      </c>
      <c r="G211" s="10" t="s">
        <v>54</v>
      </c>
      <c r="H211" s="81" t="s">
        <v>461</v>
      </c>
      <c r="I211" s="10" t="s">
        <v>54</v>
      </c>
      <c r="J211" s="81" t="s">
        <v>462</v>
      </c>
      <c r="K211" s="12" t="s">
        <v>55</v>
      </c>
      <c r="L211" s="81" t="s">
        <v>707</v>
      </c>
      <c r="M211" s="10" t="s">
        <v>54</v>
      </c>
      <c r="N211" s="81" t="s">
        <v>777</v>
      </c>
      <c r="O211" s="9" t="s">
        <v>2331</v>
      </c>
      <c r="P211" s="11">
        <v>127</v>
      </c>
      <c r="Q211" s="7"/>
      <c r="R211" s="1"/>
    </row>
    <row r="212" spans="1:18" ht="136">
      <c r="A212" s="1"/>
      <c r="B212" s="6"/>
      <c r="C212" s="11">
        <f>SUBTOTAL(103,$D$4:D212)</f>
        <v>209</v>
      </c>
      <c r="D212" s="9" t="s">
        <v>1413</v>
      </c>
      <c r="E212" s="12" t="s">
        <v>463</v>
      </c>
      <c r="F212" s="10" t="s">
        <v>22</v>
      </c>
      <c r="G212" s="10" t="s">
        <v>54</v>
      </c>
      <c r="H212" s="81" t="s">
        <v>464</v>
      </c>
      <c r="I212" s="10" t="s">
        <v>54</v>
      </c>
      <c r="J212" s="81" t="s">
        <v>465</v>
      </c>
      <c r="K212" s="12" t="s">
        <v>55</v>
      </c>
      <c r="L212" s="81" t="s">
        <v>708</v>
      </c>
      <c r="M212" s="10" t="s">
        <v>54</v>
      </c>
      <c r="N212" s="81" t="s">
        <v>778</v>
      </c>
      <c r="O212" s="9" t="s">
        <v>2410</v>
      </c>
      <c r="P212" s="11">
        <v>128</v>
      </c>
      <c r="Q212" s="7"/>
      <c r="R212" s="1"/>
    </row>
    <row r="213" spans="1:18" ht="119">
      <c r="A213" s="1"/>
      <c r="B213" s="6"/>
      <c r="C213" s="11">
        <f>SUBTOTAL(103,$D$4:D213)</f>
        <v>210</v>
      </c>
      <c r="D213" s="9" t="s">
        <v>1413</v>
      </c>
      <c r="E213" s="12" t="s">
        <v>466</v>
      </c>
      <c r="F213" s="10" t="s">
        <v>22</v>
      </c>
      <c r="G213" s="10" t="s">
        <v>54</v>
      </c>
      <c r="H213" s="81" t="s">
        <v>467</v>
      </c>
      <c r="I213" s="12" t="s">
        <v>55</v>
      </c>
      <c r="J213" s="81" t="s">
        <v>468</v>
      </c>
      <c r="K213" s="10" t="s">
        <v>54</v>
      </c>
      <c r="L213" s="81" t="s">
        <v>469</v>
      </c>
      <c r="M213" s="10" t="s">
        <v>54</v>
      </c>
      <c r="N213" s="81" t="s">
        <v>470</v>
      </c>
      <c r="O213" s="9" t="s">
        <v>1900</v>
      </c>
      <c r="P213" s="11">
        <v>129</v>
      </c>
      <c r="Q213" s="7"/>
      <c r="R213" s="1"/>
    </row>
    <row r="214" spans="1:18" ht="119">
      <c r="A214" s="1"/>
      <c r="B214" s="6"/>
      <c r="C214" s="11">
        <f>SUBTOTAL(103,$D$4:D214)</f>
        <v>211</v>
      </c>
      <c r="D214" s="9" t="s">
        <v>1413</v>
      </c>
      <c r="E214" s="12" t="s">
        <v>471</v>
      </c>
      <c r="F214" s="10" t="s">
        <v>22</v>
      </c>
      <c r="G214" s="10" t="s">
        <v>54</v>
      </c>
      <c r="H214" s="81" t="s">
        <v>472</v>
      </c>
      <c r="I214" s="12" t="s">
        <v>55</v>
      </c>
      <c r="J214" s="81" t="s">
        <v>473</v>
      </c>
      <c r="K214" s="10" t="s">
        <v>54</v>
      </c>
      <c r="L214" s="81" t="s">
        <v>709</v>
      </c>
      <c r="M214" s="10" t="s">
        <v>54</v>
      </c>
      <c r="N214" s="81" t="s">
        <v>779</v>
      </c>
      <c r="O214" s="9" t="s">
        <v>1883</v>
      </c>
      <c r="P214" s="11">
        <v>130</v>
      </c>
      <c r="Q214" s="7"/>
      <c r="R214" s="1"/>
    </row>
    <row r="215" spans="1:18" ht="153">
      <c r="A215" s="1"/>
      <c r="B215" s="6"/>
      <c r="C215" s="11">
        <f>SUBTOTAL(103,$D$4:D215)</f>
        <v>212</v>
      </c>
      <c r="D215" s="9" t="s">
        <v>1413</v>
      </c>
      <c r="E215" s="12" t="s">
        <v>474</v>
      </c>
      <c r="F215" s="10" t="s">
        <v>22</v>
      </c>
      <c r="G215" s="10" t="s">
        <v>54</v>
      </c>
      <c r="H215" s="81" t="s">
        <v>475</v>
      </c>
      <c r="I215" s="10" t="s">
        <v>54</v>
      </c>
      <c r="J215" s="81" t="s">
        <v>476</v>
      </c>
      <c r="K215" s="10" t="s">
        <v>54</v>
      </c>
      <c r="L215" s="81" t="s">
        <v>458</v>
      </c>
      <c r="M215" s="12" t="s">
        <v>55</v>
      </c>
      <c r="N215" s="81" t="s">
        <v>780</v>
      </c>
      <c r="O215" s="9" t="s">
        <v>1422</v>
      </c>
      <c r="P215" s="11">
        <v>131</v>
      </c>
      <c r="Q215" s="7"/>
      <c r="R215" s="1"/>
    </row>
    <row r="216" spans="1:18" ht="17">
      <c r="A216" s="1"/>
      <c r="B216" s="6"/>
      <c r="C216" s="11">
        <f>SUBTOTAL(103,$D$4:D216)</f>
        <v>213</v>
      </c>
      <c r="D216" s="9" t="s">
        <v>1413</v>
      </c>
      <c r="E216" s="12" t="s">
        <v>1301</v>
      </c>
      <c r="F216" s="10" t="s">
        <v>22</v>
      </c>
      <c r="G216" s="10" t="s">
        <v>54</v>
      </c>
      <c r="H216" s="12" t="s">
        <v>1302</v>
      </c>
      <c r="I216" s="12" t="s">
        <v>55</v>
      </c>
      <c r="J216" s="12" t="s">
        <v>658</v>
      </c>
      <c r="K216" s="10" t="s">
        <v>54</v>
      </c>
      <c r="L216" s="12" t="s">
        <v>661</v>
      </c>
      <c r="M216" s="10" t="s">
        <v>54</v>
      </c>
      <c r="N216" s="80" t="s">
        <v>1303</v>
      </c>
      <c r="O216" s="10" t="s">
        <v>2326</v>
      </c>
      <c r="P216" s="9"/>
      <c r="Q216" s="7"/>
      <c r="R216" s="1"/>
    </row>
    <row r="217" spans="1:18" ht="119">
      <c r="A217" s="1"/>
      <c r="B217" s="6"/>
      <c r="C217" s="11">
        <f>SUBTOTAL(103,$D$4:D217)</f>
        <v>214</v>
      </c>
      <c r="D217" s="9" t="s">
        <v>1413</v>
      </c>
      <c r="E217" s="12" t="s">
        <v>1304</v>
      </c>
      <c r="F217" s="10" t="s">
        <v>12</v>
      </c>
      <c r="G217" s="12" t="s">
        <v>55</v>
      </c>
      <c r="H217" s="12" t="s">
        <v>1305</v>
      </c>
      <c r="I217" s="9" t="s">
        <v>54</v>
      </c>
      <c r="J217" s="12" t="s">
        <v>1306</v>
      </c>
      <c r="K217" s="10" t="s">
        <v>54</v>
      </c>
      <c r="L217" s="12" t="s">
        <v>1307</v>
      </c>
      <c r="M217" s="10" t="s">
        <v>54</v>
      </c>
      <c r="N217" s="80" t="s">
        <v>1308</v>
      </c>
      <c r="O217" s="9"/>
      <c r="P217" s="9"/>
      <c r="Q217" s="7"/>
      <c r="R217" s="1"/>
    </row>
    <row r="218" spans="1:18" ht="68">
      <c r="A218" s="1"/>
      <c r="B218" s="6"/>
      <c r="C218" s="11">
        <f>SUBTOTAL(103,$D$4:D218)</f>
        <v>215</v>
      </c>
      <c r="D218" s="9" t="s">
        <v>1413</v>
      </c>
      <c r="E218" s="12" t="s">
        <v>1309</v>
      </c>
      <c r="F218" s="10" t="s">
        <v>8</v>
      </c>
      <c r="G218" s="12" t="s">
        <v>55</v>
      </c>
      <c r="H218" s="80" t="s">
        <v>10</v>
      </c>
      <c r="I218" s="9" t="s">
        <v>54</v>
      </c>
      <c r="J218" s="12" t="s">
        <v>9</v>
      </c>
      <c r="K218" s="10" t="s">
        <v>54</v>
      </c>
      <c r="L218" s="81" t="s">
        <v>177</v>
      </c>
      <c r="M218" s="10" t="s">
        <v>54</v>
      </c>
      <c r="N218" s="81" t="s">
        <v>177</v>
      </c>
      <c r="O218" s="9" t="s">
        <v>1310</v>
      </c>
      <c r="P218" s="9"/>
      <c r="Q218" s="7"/>
      <c r="R218" s="1"/>
    </row>
    <row r="219" spans="1:18" ht="68">
      <c r="A219" s="1"/>
      <c r="B219" s="6"/>
      <c r="C219" s="11">
        <f>SUBTOTAL(103,$D$4:D219)</f>
        <v>216</v>
      </c>
      <c r="D219" s="9" t="s">
        <v>1413</v>
      </c>
      <c r="E219" s="12" t="s">
        <v>2332</v>
      </c>
      <c r="F219" s="10" t="s">
        <v>22</v>
      </c>
      <c r="G219" s="12" t="s">
        <v>55</v>
      </c>
      <c r="H219" s="12" t="s">
        <v>1311</v>
      </c>
      <c r="I219" s="9" t="s">
        <v>54</v>
      </c>
      <c r="J219" s="12" t="s">
        <v>1312</v>
      </c>
      <c r="K219" s="10" t="s">
        <v>54</v>
      </c>
      <c r="L219" s="12" t="s">
        <v>1313</v>
      </c>
      <c r="M219" s="10" t="s">
        <v>54</v>
      </c>
      <c r="N219" s="80" t="s">
        <v>1314</v>
      </c>
      <c r="O219" s="9" t="s">
        <v>1315</v>
      </c>
      <c r="P219" s="9"/>
      <c r="Q219" s="7"/>
      <c r="R219" s="1"/>
    </row>
    <row r="220" spans="1:18" ht="102">
      <c r="A220" s="1"/>
      <c r="B220" s="6"/>
      <c r="C220" s="11">
        <f>SUBTOTAL(103,$D$4:D220)</f>
        <v>217</v>
      </c>
      <c r="D220" s="9" t="s">
        <v>1413</v>
      </c>
      <c r="E220" s="12" t="s">
        <v>1316</v>
      </c>
      <c r="F220" s="10" t="s">
        <v>8</v>
      </c>
      <c r="G220" s="10" t="s">
        <v>54</v>
      </c>
      <c r="H220" s="80" t="s">
        <v>10</v>
      </c>
      <c r="I220" s="12" t="s">
        <v>55</v>
      </c>
      <c r="J220" s="12" t="s">
        <v>9</v>
      </c>
      <c r="K220" s="10" t="s">
        <v>54</v>
      </c>
      <c r="L220" s="81" t="s">
        <v>177</v>
      </c>
      <c r="M220" s="10" t="s">
        <v>54</v>
      </c>
      <c r="N220" s="81" t="s">
        <v>177</v>
      </c>
      <c r="O220" s="9" t="s">
        <v>1317</v>
      </c>
      <c r="P220" s="9"/>
      <c r="Q220" s="7"/>
      <c r="R220" s="1"/>
    </row>
    <row r="221" spans="1:18" ht="102">
      <c r="A221" s="1"/>
      <c r="B221" s="6"/>
      <c r="C221" s="11">
        <f>SUBTOTAL(103,$D$4:D221)</f>
        <v>218</v>
      </c>
      <c r="D221" s="9" t="s">
        <v>1413</v>
      </c>
      <c r="E221" s="12" t="s">
        <v>1318</v>
      </c>
      <c r="F221" s="10" t="s">
        <v>22</v>
      </c>
      <c r="G221" s="9" t="s">
        <v>54</v>
      </c>
      <c r="H221" s="82">
        <v>13802</v>
      </c>
      <c r="I221" s="9" t="s">
        <v>54</v>
      </c>
      <c r="J221" s="82">
        <v>13805</v>
      </c>
      <c r="K221" s="12" t="s">
        <v>55</v>
      </c>
      <c r="L221" s="82">
        <v>13832</v>
      </c>
      <c r="M221" s="10" t="s">
        <v>54</v>
      </c>
      <c r="N221" s="80">
        <v>13835</v>
      </c>
      <c r="O221" s="9" t="s">
        <v>1319</v>
      </c>
      <c r="P221" s="9"/>
      <c r="Q221" s="7"/>
      <c r="R221" s="1"/>
    </row>
    <row r="222" spans="1:18" ht="153">
      <c r="A222" s="1"/>
      <c r="B222" s="6"/>
      <c r="C222" s="11">
        <f>SUBTOTAL(103,$D$4:D222)</f>
        <v>219</v>
      </c>
      <c r="D222" s="9" t="s">
        <v>1413</v>
      </c>
      <c r="E222" s="12" t="s">
        <v>1320</v>
      </c>
      <c r="F222" s="10" t="s">
        <v>22</v>
      </c>
      <c r="G222" s="9" t="s">
        <v>54</v>
      </c>
      <c r="H222" s="12" t="s">
        <v>1325</v>
      </c>
      <c r="I222" s="9" t="s">
        <v>54</v>
      </c>
      <c r="J222" s="12" t="s">
        <v>1323</v>
      </c>
      <c r="K222" s="10" t="s">
        <v>54</v>
      </c>
      <c r="L222" s="12" t="s">
        <v>1324</v>
      </c>
      <c r="M222" s="12" t="s">
        <v>55</v>
      </c>
      <c r="N222" s="80" t="s">
        <v>1322</v>
      </c>
      <c r="O222" s="9" t="s">
        <v>1321</v>
      </c>
      <c r="P222" s="9"/>
      <c r="Q222" s="7"/>
      <c r="R222" s="1"/>
    </row>
    <row r="223" spans="1:18" ht="153">
      <c r="A223" s="1"/>
      <c r="B223" s="6"/>
      <c r="C223" s="11">
        <f>SUBTOTAL(103,$D$4:D223)</f>
        <v>220</v>
      </c>
      <c r="D223" s="9" t="s">
        <v>1413</v>
      </c>
      <c r="E223" s="12" t="s">
        <v>1326</v>
      </c>
      <c r="F223" s="10" t="s">
        <v>22</v>
      </c>
      <c r="G223" s="9" t="s">
        <v>54</v>
      </c>
      <c r="H223" s="12" t="s">
        <v>1329</v>
      </c>
      <c r="I223" s="9" t="s">
        <v>54</v>
      </c>
      <c r="J223" s="12" t="s">
        <v>1331</v>
      </c>
      <c r="K223" s="12" t="s">
        <v>55</v>
      </c>
      <c r="L223" s="12" t="s">
        <v>1328</v>
      </c>
      <c r="M223" s="10" t="s">
        <v>54</v>
      </c>
      <c r="N223" s="80" t="s">
        <v>1330</v>
      </c>
      <c r="O223" s="9" t="s">
        <v>1327</v>
      </c>
      <c r="P223" s="9"/>
      <c r="Q223" s="7"/>
      <c r="R223" s="1"/>
    </row>
    <row r="224" spans="1:18" ht="34">
      <c r="A224" s="1"/>
      <c r="B224" s="6"/>
      <c r="C224" s="11">
        <f>SUBTOTAL(103,$D$4:D224)</f>
        <v>221</v>
      </c>
      <c r="D224" s="9" t="s">
        <v>1413</v>
      </c>
      <c r="E224" s="12" t="s">
        <v>1332</v>
      </c>
      <c r="F224" s="10" t="s">
        <v>8</v>
      </c>
      <c r="G224" s="12" t="s">
        <v>55</v>
      </c>
      <c r="H224" s="80" t="s">
        <v>10</v>
      </c>
      <c r="I224" s="9" t="s">
        <v>54</v>
      </c>
      <c r="J224" s="12" t="s">
        <v>9</v>
      </c>
      <c r="K224" s="10" t="s">
        <v>54</v>
      </c>
      <c r="L224" s="81" t="s">
        <v>177</v>
      </c>
      <c r="M224" s="10" t="s">
        <v>54</v>
      </c>
      <c r="N224" s="81" t="s">
        <v>177</v>
      </c>
      <c r="O224" s="9" t="s">
        <v>1333</v>
      </c>
      <c r="P224" s="9"/>
      <c r="Q224" s="7"/>
      <c r="R224" s="1"/>
    </row>
    <row r="225" spans="1:18" ht="85">
      <c r="A225" s="1"/>
      <c r="B225" s="6"/>
      <c r="C225" s="11">
        <f>SUBTOTAL(103,$D$4:D225)</f>
        <v>222</v>
      </c>
      <c r="D225" s="9" t="s">
        <v>1413</v>
      </c>
      <c r="E225" s="12" t="s">
        <v>1334</v>
      </c>
      <c r="F225" s="10" t="s">
        <v>22</v>
      </c>
      <c r="G225" s="9" t="s">
        <v>54</v>
      </c>
      <c r="H225" s="12" t="s">
        <v>366</v>
      </c>
      <c r="I225" s="9" t="s">
        <v>54</v>
      </c>
      <c r="J225" s="12" t="s">
        <v>1335</v>
      </c>
      <c r="K225" s="9" t="s">
        <v>54</v>
      </c>
      <c r="L225" s="12" t="s">
        <v>734</v>
      </c>
      <c r="M225" s="12" t="s">
        <v>55</v>
      </c>
      <c r="N225" s="80" t="s">
        <v>760</v>
      </c>
      <c r="O225" s="9" t="s">
        <v>1336</v>
      </c>
      <c r="P225" s="9"/>
      <c r="Q225" s="7"/>
      <c r="R225" s="1"/>
    </row>
    <row r="226" spans="1:18" ht="34">
      <c r="A226" s="1"/>
      <c r="B226" s="6"/>
      <c r="C226" s="11">
        <f>SUBTOTAL(103,$D$4:D226)</f>
        <v>223</v>
      </c>
      <c r="D226" s="9" t="s">
        <v>1413</v>
      </c>
      <c r="E226" s="12" t="s">
        <v>1337</v>
      </c>
      <c r="F226" s="10" t="s">
        <v>22</v>
      </c>
      <c r="G226" s="9" t="s">
        <v>54</v>
      </c>
      <c r="H226" s="83" t="s">
        <v>1339</v>
      </c>
      <c r="I226" s="9" t="s">
        <v>54</v>
      </c>
      <c r="J226" s="83" t="s">
        <v>1340</v>
      </c>
      <c r="K226" s="12" t="s">
        <v>55</v>
      </c>
      <c r="L226" s="83" t="s">
        <v>1341</v>
      </c>
      <c r="M226" s="10" t="s">
        <v>54</v>
      </c>
      <c r="N226" s="13" t="s">
        <v>1342</v>
      </c>
      <c r="O226" s="9" t="s">
        <v>1338</v>
      </c>
      <c r="P226" s="9"/>
      <c r="Q226" s="7"/>
      <c r="R226" s="1"/>
    </row>
    <row r="227" spans="1:18" ht="119">
      <c r="A227" s="1"/>
      <c r="B227" s="6"/>
      <c r="C227" s="11">
        <f>SUBTOTAL(103,$D$4:D227)</f>
        <v>224</v>
      </c>
      <c r="D227" s="9" t="s">
        <v>1413</v>
      </c>
      <c r="E227" s="12" t="s">
        <v>1343</v>
      </c>
      <c r="F227" s="10" t="s">
        <v>22</v>
      </c>
      <c r="G227" s="9" t="s">
        <v>54</v>
      </c>
      <c r="H227" s="12">
        <v>15</v>
      </c>
      <c r="I227" s="12" t="s">
        <v>55</v>
      </c>
      <c r="J227" s="12">
        <v>30</v>
      </c>
      <c r="K227" s="10" t="s">
        <v>54</v>
      </c>
      <c r="L227" s="12">
        <v>10</v>
      </c>
      <c r="M227" s="10" t="s">
        <v>54</v>
      </c>
      <c r="N227" s="12">
        <v>50</v>
      </c>
      <c r="O227" s="9" t="s">
        <v>1344</v>
      </c>
      <c r="P227" s="9"/>
      <c r="Q227" s="7"/>
      <c r="R227" s="1"/>
    </row>
    <row r="228" spans="1:18" ht="119">
      <c r="A228" s="1"/>
      <c r="B228" s="6"/>
      <c r="C228" s="11">
        <f>SUBTOTAL(103,$D$4:D228)</f>
        <v>225</v>
      </c>
      <c r="D228" s="9" t="s">
        <v>1413</v>
      </c>
      <c r="E228" s="12" t="s">
        <v>1877</v>
      </c>
      <c r="F228" s="10" t="s">
        <v>22</v>
      </c>
      <c r="G228" s="9" t="s">
        <v>54</v>
      </c>
      <c r="H228" s="12">
        <v>15</v>
      </c>
      <c r="I228" s="9" t="s">
        <v>54</v>
      </c>
      <c r="J228" s="12">
        <v>16</v>
      </c>
      <c r="K228" s="10" t="s">
        <v>54</v>
      </c>
      <c r="L228" s="12">
        <v>20</v>
      </c>
      <c r="M228" s="12" t="s">
        <v>55</v>
      </c>
      <c r="N228" s="12">
        <v>21</v>
      </c>
      <c r="O228" s="9" t="s">
        <v>1345</v>
      </c>
      <c r="P228" s="9"/>
      <c r="Q228" s="7"/>
      <c r="R228" s="1"/>
    </row>
    <row r="229" spans="1:18" ht="85">
      <c r="A229" s="1"/>
      <c r="B229" s="6"/>
      <c r="C229" s="11">
        <f>SUBTOTAL(103,$D$4:D229)</f>
        <v>226</v>
      </c>
      <c r="D229" s="9" t="s">
        <v>1413</v>
      </c>
      <c r="E229" s="12" t="s">
        <v>1423</v>
      </c>
      <c r="F229" s="10" t="s">
        <v>8</v>
      </c>
      <c r="G229" s="12" t="s">
        <v>55</v>
      </c>
      <c r="H229" s="80" t="s">
        <v>10</v>
      </c>
      <c r="I229" s="10" t="s">
        <v>54</v>
      </c>
      <c r="J229" s="12" t="s">
        <v>9</v>
      </c>
      <c r="K229" s="10" t="s">
        <v>54</v>
      </c>
      <c r="L229" s="81" t="s">
        <v>177</v>
      </c>
      <c r="M229" s="10" t="s">
        <v>54</v>
      </c>
      <c r="N229" s="81" t="s">
        <v>177</v>
      </c>
      <c r="O229" s="9"/>
      <c r="P229" s="9"/>
      <c r="Q229" s="7"/>
      <c r="R229" s="1"/>
    </row>
    <row r="230" spans="1:18" ht="34">
      <c r="A230" s="1"/>
      <c r="B230" s="6"/>
      <c r="C230" s="11">
        <f>SUBTOTAL(103,$D$4:D230)</f>
        <v>227</v>
      </c>
      <c r="D230" s="9" t="s">
        <v>1413</v>
      </c>
      <c r="E230" s="12" t="s">
        <v>1878</v>
      </c>
      <c r="F230" s="10" t="s">
        <v>8</v>
      </c>
      <c r="G230" s="12" t="s">
        <v>55</v>
      </c>
      <c r="H230" s="80" t="s">
        <v>10</v>
      </c>
      <c r="I230" s="10" t="s">
        <v>54</v>
      </c>
      <c r="J230" s="12" t="s">
        <v>9</v>
      </c>
      <c r="K230" s="10" t="s">
        <v>54</v>
      </c>
      <c r="L230" s="81" t="s">
        <v>177</v>
      </c>
      <c r="M230" s="10" t="s">
        <v>54</v>
      </c>
      <c r="N230" s="81" t="s">
        <v>177</v>
      </c>
      <c r="O230" s="9"/>
      <c r="P230" s="9"/>
      <c r="Q230" s="7"/>
      <c r="R230" s="1"/>
    </row>
    <row r="231" spans="1:18" ht="85">
      <c r="A231" s="1"/>
      <c r="B231" s="6"/>
      <c r="C231" s="11">
        <f>SUBTOTAL(103,$D$4:D231)</f>
        <v>228</v>
      </c>
      <c r="D231" s="9" t="s">
        <v>1413</v>
      </c>
      <c r="E231" s="12" t="s">
        <v>1424</v>
      </c>
      <c r="F231" s="10" t="s">
        <v>22</v>
      </c>
      <c r="G231" s="9" t="s">
        <v>54</v>
      </c>
      <c r="H231" s="12">
        <v>35</v>
      </c>
      <c r="I231" s="9" t="s">
        <v>54</v>
      </c>
      <c r="J231" s="12">
        <v>60</v>
      </c>
      <c r="K231" s="10" t="s">
        <v>54</v>
      </c>
      <c r="L231" s="12">
        <v>30</v>
      </c>
      <c r="M231" s="12" t="s">
        <v>55</v>
      </c>
      <c r="N231" s="12">
        <v>65</v>
      </c>
      <c r="O231" s="9" t="s">
        <v>1425</v>
      </c>
      <c r="P231" s="9"/>
      <c r="Q231" s="7"/>
      <c r="R231" s="1"/>
    </row>
    <row r="232" spans="1:18" ht="51">
      <c r="A232" s="1"/>
      <c r="B232" s="6"/>
      <c r="C232" s="11">
        <f>SUBTOTAL(103,$D$4:D232)</f>
        <v>229</v>
      </c>
      <c r="D232" s="9" t="s">
        <v>1413</v>
      </c>
      <c r="E232" s="12" t="s">
        <v>2411</v>
      </c>
      <c r="F232" s="10" t="s">
        <v>8</v>
      </c>
      <c r="G232" s="12" t="s">
        <v>55</v>
      </c>
      <c r="H232" s="80" t="s">
        <v>10</v>
      </c>
      <c r="I232" s="10" t="s">
        <v>54</v>
      </c>
      <c r="J232" s="12" t="s">
        <v>9</v>
      </c>
      <c r="K232" s="10" t="s">
        <v>54</v>
      </c>
      <c r="L232" s="81" t="s">
        <v>177</v>
      </c>
      <c r="M232" s="10" t="s">
        <v>54</v>
      </c>
      <c r="N232" s="81" t="s">
        <v>177</v>
      </c>
      <c r="O232" s="9"/>
      <c r="P232" s="9"/>
      <c r="Q232" s="7"/>
      <c r="R232" s="1"/>
    </row>
    <row r="233" spans="1:18" ht="34">
      <c r="A233" s="1"/>
      <c r="B233" s="6"/>
      <c r="C233" s="11">
        <f>SUBTOTAL(103,$D$4:D233)</f>
        <v>230</v>
      </c>
      <c r="D233" s="9" t="s">
        <v>1413</v>
      </c>
      <c r="E233" s="12" t="s">
        <v>1426</v>
      </c>
      <c r="F233" s="10" t="s">
        <v>8</v>
      </c>
      <c r="G233" s="10" t="s">
        <v>54</v>
      </c>
      <c r="H233" s="80" t="s">
        <v>10</v>
      </c>
      <c r="I233" s="12" t="s">
        <v>55</v>
      </c>
      <c r="J233" s="12" t="s">
        <v>9</v>
      </c>
      <c r="K233" s="10" t="s">
        <v>54</v>
      </c>
      <c r="L233" s="81" t="s">
        <v>177</v>
      </c>
      <c r="M233" s="10" t="s">
        <v>54</v>
      </c>
      <c r="N233" s="81" t="s">
        <v>177</v>
      </c>
      <c r="O233" s="9" t="s">
        <v>1427</v>
      </c>
      <c r="P233" s="9"/>
      <c r="Q233" s="7"/>
      <c r="R233" s="1"/>
    </row>
    <row r="234" spans="1:18" ht="68">
      <c r="A234" s="1"/>
      <c r="B234" s="6"/>
      <c r="C234" s="11">
        <f>SUBTOTAL(103,$D$4:D234)</f>
        <v>231</v>
      </c>
      <c r="D234" s="9" t="s">
        <v>1413</v>
      </c>
      <c r="E234" s="12" t="s">
        <v>1429</v>
      </c>
      <c r="F234" s="10" t="s">
        <v>22</v>
      </c>
      <c r="G234" s="10" t="s">
        <v>54</v>
      </c>
      <c r="H234" s="83" t="s">
        <v>1431</v>
      </c>
      <c r="I234" s="12" t="s">
        <v>55</v>
      </c>
      <c r="J234" s="83" t="s">
        <v>1430</v>
      </c>
      <c r="K234" s="10" t="s">
        <v>54</v>
      </c>
      <c r="L234" s="83" t="s">
        <v>1432</v>
      </c>
      <c r="M234" s="10" t="s">
        <v>54</v>
      </c>
      <c r="N234" s="83" t="s">
        <v>1433</v>
      </c>
      <c r="O234" s="9" t="s">
        <v>1428</v>
      </c>
      <c r="P234" s="9"/>
      <c r="Q234" s="7"/>
      <c r="R234" s="1"/>
    </row>
    <row r="235" spans="1:18" ht="51">
      <c r="A235" s="1"/>
      <c r="B235" s="6"/>
      <c r="C235" s="11">
        <f>SUBTOTAL(103,$D$4:D235)</f>
        <v>232</v>
      </c>
      <c r="D235" s="9" t="s">
        <v>1413</v>
      </c>
      <c r="E235" s="12" t="s">
        <v>1434</v>
      </c>
      <c r="F235" s="10" t="s">
        <v>8</v>
      </c>
      <c r="G235" s="12" t="s">
        <v>55</v>
      </c>
      <c r="H235" s="80" t="s">
        <v>10</v>
      </c>
      <c r="I235" s="10" t="s">
        <v>54</v>
      </c>
      <c r="J235" s="12" t="s">
        <v>9</v>
      </c>
      <c r="K235" s="10" t="s">
        <v>54</v>
      </c>
      <c r="L235" s="81" t="s">
        <v>177</v>
      </c>
      <c r="M235" s="10" t="s">
        <v>54</v>
      </c>
      <c r="N235" s="81" t="s">
        <v>177</v>
      </c>
      <c r="O235" s="9" t="s">
        <v>1435</v>
      </c>
      <c r="P235" s="9"/>
      <c r="Q235" s="7"/>
      <c r="R235" s="1"/>
    </row>
    <row r="236" spans="1:18" ht="68">
      <c r="A236" s="1"/>
      <c r="B236" s="6"/>
      <c r="C236" s="11">
        <f>SUBTOTAL(103,$D$4:D236)</f>
        <v>233</v>
      </c>
      <c r="D236" s="9" t="s">
        <v>1413</v>
      </c>
      <c r="E236" s="12" t="s">
        <v>1437</v>
      </c>
      <c r="F236" s="10" t="s">
        <v>12</v>
      </c>
      <c r="G236" s="9" t="s">
        <v>54</v>
      </c>
      <c r="H236" s="12" t="s">
        <v>1438</v>
      </c>
      <c r="I236" s="12" t="s">
        <v>55</v>
      </c>
      <c r="J236" s="12" t="s">
        <v>1441</v>
      </c>
      <c r="K236" s="10" t="s">
        <v>54</v>
      </c>
      <c r="L236" s="12" t="s">
        <v>1440</v>
      </c>
      <c r="M236" s="12" t="s">
        <v>55</v>
      </c>
      <c r="N236" s="12" t="s">
        <v>1439</v>
      </c>
      <c r="O236" s="9" t="s">
        <v>1436</v>
      </c>
      <c r="P236" s="9"/>
      <c r="Q236" s="7"/>
      <c r="R236" s="1"/>
    </row>
    <row r="237" spans="1:18" ht="102">
      <c r="A237" s="1"/>
      <c r="B237" s="6"/>
      <c r="C237" s="11">
        <f>SUBTOTAL(103,$D$4:D237)</f>
        <v>234</v>
      </c>
      <c r="D237" s="9" t="s">
        <v>1413</v>
      </c>
      <c r="E237" s="12" t="s">
        <v>1442</v>
      </c>
      <c r="F237" s="10" t="s">
        <v>22</v>
      </c>
      <c r="G237" s="9" t="s">
        <v>54</v>
      </c>
      <c r="H237" s="12" t="s">
        <v>1444</v>
      </c>
      <c r="I237" s="9" t="s">
        <v>54</v>
      </c>
      <c r="J237" s="12" t="s">
        <v>1445</v>
      </c>
      <c r="K237" s="10" t="s">
        <v>54</v>
      </c>
      <c r="L237" s="12" t="s">
        <v>1446</v>
      </c>
      <c r="M237" s="12" t="s">
        <v>55</v>
      </c>
      <c r="N237" s="12" t="s">
        <v>1443</v>
      </c>
      <c r="O237" s="9" t="s">
        <v>1447</v>
      </c>
      <c r="P237" s="9"/>
      <c r="Q237" s="7"/>
      <c r="R237" s="1"/>
    </row>
    <row r="238" spans="1:18" ht="34">
      <c r="A238" s="1"/>
      <c r="B238" s="6"/>
      <c r="C238" s="11">
        <f>SUBTOTAL(103,$D$4:D238)</f>
        <v>235</v>
      </c>
      <c r="D238" s="9" t="s">
        <v>1413</v>
      </c>
      <c r="E238" s="12" t="s">
        <v>1448</v>
      </c>
      <c r="F238" s="10" t="s">
        <v>8</v>
      </c>
      <c r="G238" s="12" t="s">
        <v>55</v>
      </c>
      <c r="H238" s="80" t="s">
        <v>10</v>
      </c>
      <c r="I238" s="10" t="s">
        <v>54</v>
      </c>
      <c r="J238" s="12" t="s">
        <v>9</v>
      </c>
      <c r="K238" s="10" t="s">
        <v>54</v>
      </c>
      <c r="L238" s="81" t="s">
        <v>177</v>
      </c>
      <c r="M238" s="10" t="s">
        <v>54</v>
      </c>
      <c r="N238" s="81" t="s">
        <v>177</v>
      </c>
      <c r="O238" s="9" t="s">
        <v>1451</v>
      </c>
      <c r="P238" s="9"/>
      <c r="Q238" s="7"/>
      <c r="R238" s="1"/>
    </row>
    <row r="239" spans="1:18" ht="68">
      <c r="A239" s="1"/>
      <c r="B239" s="6"/>
      <c r="C239" s="11">
        <f>SUBTOTAL(103,$D$4:D239)</f>
        <v>236</v>
      </c>
      <c r="D239" s="9" t="s">
        <v>1413</v>
      </c>
      <c r="E239" s="12" t="s">
        <v>1449</v>
      </c>
      <c r="F239" s="10" t="s">
        <v>8</v>
      </c>
      <c r="G239" s="12" t="s">
        <v>55</v>
      </c>
      <c r="H239" s="80" t="s">
        <v>10</v>
      </c>
      <c r="I239" s="10" t="s">
        <v>54</v>
      </c>
      <c r="J239" s="12" t="s">
        <v>9</v>
      </c>
      <c r="K239" s="10" t="s">
        <v>54</v>
      </c>
      <c r="L239" s="81" t="s">
        <v>177</v>
      </c>
      <c r="M239" s="10" t="s">
        <v>54</v>
      </c>
      <c r="N239" s="81" t="s">
        <v>177</v>
      </c>
      <c r="O239" s="9" t="s">
        <v>1450</v>
      </c>
      <c r="P239" s="9"/>
      <c r="Q239" s="7"/>
      <c r="R239" s="1"/>
    </row>
    <row r="240" spans="1:18" ht="119">
      <c r="A240" s="1"/>
      <c r="B240" s="6"/>
      <c r="C240" s="11">
        <f>SUBTOTAL(103,$D$4:D240)</f>
        <v>237</v>
      </c>
      <c r="D240" s="9" t="s">
        <v>1413</v>
      </c>
      <c r="E240" s="12" t="s">
        <v>1452</v>
      </c>
      <c r="F240" s="10" t="s">
        <v>8</v>
      </c>
      <c r="G240" s="10" t="s">
        <v>54</v>
      </c>
      <c r="H240" s="80" t="s">
        <v>10</v>
      </c>
      <c r="I240" s="12" t="s">
        <v>55</v>
      </c>
      <c r="J240" s="12" t="s">
        <v>9</v>
      </c>
      <c r="K240" s="10" t="s">
        <v>54</v>
      </c>
      <c r="L240" s="81" t="s">
        <v>177</v>
      </c>
      <c r="M240" s="10" t="s">
        <v>54</v>
      </c>
      <c r="N240" s="81" t="s">
        <v>177</v>
      </c>
      <c r="O240" s="9" t="s">
        <v>2412</v>
      </c>
      <c r="P240" s="9"/>
      <c r="Q240" s="7"/>
      <c r="R240" s="1"/>
    </row>
    <row r="241" spans="1:18" ht="119">
      <c r="A241" s="1"/>
      <c r="B241" s="6"/>
      <c r="C241" s="11">
        <f>SUBTOTAL(103,$D$4:D241)</f>
        <v>238</v>
      </c>
      <c r="D241" s="9" t="s">
        <v>1413</v>
      </c>
      <c r="E241" s="12" t="s">
        <v>1453</v>
      </c>
      <c r="F241" s="10" t="s">
        <v>22</v>
      </c>
      <c r="G241" s="9" t="s">
        <v>54</v>
      </c>
      <c r="H241" s="12" t="s">
        <v>1454</v>
      </c>
      <c r="I241" s="12" t="s">
        <v>55</v>
      </c>
      <c r="J241" s="12" t="s">
        <v>1455</v>
      </c>
      <c r="K241" s="10" t="s">
        <v>54</v>
      </c>
      <c r="L241" s="12" t="s">
        <v>1456</v>
      </c>
      <c r="M241" s="10" t="s">
        <v>54</v>
      </c>
      <c r="N241" s="12" t="s">
        <v>1457</v>
      </c>
      <c r="O241" s="9" t="s">
        <v>1458</v>
      </c>
      <c r="P241" s="9"/>
      <c r="Q241" s="7"/>
      <c r="R241" s="1"/>
    </row>
    <row r="242" spans="1:18" ht="85">
      <c r="A242" s="1"/>
      <c r="B242" s="6"/>
      <c r="C242" s="11">
        <f>SUBTOTAL(103,$D$4:D242)</f>
        <v>239</v>
      </c>
      <c r="D242" s="9" t="s">
        <v>1413</v>
      </c>
      <c r="E242" s="12" t="s">
        <v>1459</v>
      </c>
      <c r="F242" s="10" t="s">
        <v>8</v>
      </c>
      <c r="G242" s="10" t="s">
        <v>54</v>
      </c>
      <c r="H242" s="80" t="s">
        <v>10</v>
      </c>
      <c r="I242" s="12" t="s">
        <v>55</v>
      </c>
      <c r="J242" s="12" t="s">
        <v>9</v>
      </c>
      <c r="K242" s="10" t="s">
        <v>54</v>
      </c>
      <c r="L242" s="81" t="s">
        <v>177</v>
      </c>
      <c r="M242" s="10" t="s">
        <v>54</v>
      </c>
      <c r="N242" s="81" t="s">
        <v>177</v>
      </c>
      <c r="O242" s="9" t="s">
        <v>1460</v>
      </c>
      <c r="P242" s="9"/>
      <c r="Q242" s="7"/>
      <c r="R242" s="1"/>
    </row>
    <row r="243" spans="1:18" ht="119">
      <c r="A243" s="1"/>
      <c r="B243" s="6"/>
      <c r="C243" s="11">
        <f>SUBTOTAL(103,$D$4:D243)</f>
        <v>240</v>
      </c>
      <c r="D243" s="9" t="s">
        <v>1413</v>
      </c>
      <c r="E243" s="12" t="s">
        <v>2397</v>
      </c>
      <c r="F243" s="10" t="s">
        <v>22</v>
      </c>
      <c r="G243" s="9" t="s">
        <v>54</v>
      </c>
      <c r="H243" s="12">
        <v>30</v>
      </c>
      <c r="I243" s="9" t="s">
        <v>54</v>
      </c>
      <c r="J243" s="12">
        <v>42</v>
      </c>
      <c r="K243" s="10" t="s">
        <v>54</v>
      </c>
      <c r="L243" s="12">
        <v>52</v>
      </c>
      <c r="M243" s="12" t="s">
        <v>55</v>
      </c>
      <c r="N243" s="12">
        <v>66</v>
      </c>
      <c r="O243" s="9" t="s">
        <v>2398</v>
      </c>
      <c r="P243" s="9"/>
      <c r="Q243" s="7"/>
      <c r="R243" s="1"/>
    </row>
    <row r="244" spans="1:18" ht="136">
      <c r="A244" s="1"/>
      <c r="B244" s="6"/>
      <c r="C244" s="11">
        <f>SUBTOTAL(103,$D$4:D244)</f>
        <v>241</v>
      </c>
      <c r="D244" s="9" t="s">
        <v>1413</v>
      </c>
      <c r="E244" s="12" t="s">
        <v>1461</v>
      </c>
      <c r="F244" s="10" t="s">
        <v>22</v>
      </c>
      <c r="G244" s="9" t="s">
        <v>54</v>
      </c>
      <c r="H244" s="12">
        <v>30</v>
      </c>
      <c r="I244" s="9" t="s">
        <v>54</v>
      </c>
      <c r="J244" s="12">
        <v>42</v>
      </c>
      <c r="K244" s="12" t="s">
        <v>55</v>
      </c>
      <c r="L244" s="12">
        <v>52</v>
      </c>
      <c r="M244" s="10" t="s">
        <v>54</v>
      </c>
      <c r="N244" s="12">
        <v>66</v>
      </c>
      <c r="O244" s="9" t="s">
        <v>2396</v>
      </c>
      <c r="P244" s="9"/>
      <c r="Q244" s="7"/>
      <c r="R244" s="1"/>
    </row>
    <row r="245" spans="1:18" ht="85">
      <c r="A245" s="1"/>
      <c r="B245" s="6"/>
      <c r="C245" s="11">
        <f>SUBTOTAL(103,$D$4:D245)</f>
        <v>242</v>
      </c>
      <c r="D245" s="9" t="s">
        <v>1413</v>
      </c>
      <c r="E245" s="12" t="s">
        <v>1462</v>
      </c>
      <c r="F245" s="10" t="s">
        <v>22</v>
      </c>
      <c r="G245" s="9" t="s">
        <v>54</v>
      </c>
      <c r="H245" s="12" t="s">
        <v>1463</v>
      </c>
      <c r="I245" s="12" t="s">
        <v>55</v>
      </c>
      <c r="J245" s="12" t="s">
        <v>1466</v>
      </c>
      <c r="K245" s="10" t="s">
        <v>54</v>
      </c>
      <c r="L245" s="12" t="s">
        <v>1465</v>
      </c>
      <c r="M245" s="10" t="s">
        <v>54</v>
      </c>
      <c r="N245" s="12" t="s">
        <v>1464</v>
      </c>
      <c r="O245" s="9" t="s">
        <v>2413</v>
      </c>
      <c r="P245" s="9"/>
      <c r="Q245" s="7"/>
      <c r="R245" s="1"/>
    </row>
    <row r="246" spans="1:18" ht="153">
      <c r="A246" s="1"/>
      <c r="B246" s="6"/>
      <c r="C246" s="11">
        <f>SUBTOTAL(103,$D$4:D246)</f>
        <v>243</v>
      </c>
      <c r="D246" s="9" t="s">
        <v>1413</v>
      </c>
      <c r="E246" s="12" t="s">
        <v>1467</v>
      </c>
      <c r="F246" s="10" t="s">
        <v>22</v>
      </c>
      <c r="G246" s="9" t="s">
        <v>54</v>
      </c>
      <c r="H246" s="12" t="s">
        <v>1470</v>
      </c>
      <c r="I246" s="9" t="s">
        <v>54</v>
      </c>
      <c r="J246" s="12" t="s">
        <v>1471</v>
      </c>
      <c r="K246" s="10" t="s">
        <v>54</v>
      </c>
      <c r="L246" s="12" t="s">
        <v>1469</v>
      </c>
      <c r="M246" s="12" t="s">
        <v>55</v>
      </c>
      <c r="N246" s="12" t="s">
        <v>1468</v>
      </c>
      <c r="O246" s="9" t="s">
        <v>1472</v>
      </c>
      <c r="P246" s="9"/>
      <c r="Q246" s="7"/>
      <c r="R246" s="1"/>
    </row>
    <row r="247" spans="1:18" ht="51">
      <c r="A247" s="1"/>
      <c r="B247" s="6"/>
      <c r="C247" s="11">
        <f>SUBTOTAL(103,$D$4:D247)</f>
        <v>244</v>
      </c>
      <c r="D247" s="9" t="s">
        <v>1413</v>
      </c>
      <c r="E247" s="12" t="s">
        <v>1477</v>
      </c>
      <c r="F247" s="10" t="s">
        <v>22</v>
      </c>
      <c r="G247" s="9" t="s">
        <v>54</v>
      </c>
      <c r="H247" s="12" t="s">
        <v>1473</v>
      </c>
      <c r="I247" s="9" t="s">
        <v>54</v>
      </c>
      <c r="J247" s="12" t="s">
        <v>1474</v>
      </c>
      <c r="K247" s="12" t="s">
        <v>55</v>
      </c>
      <c r="L247" s="12" t="s">
        <v>1475</v>
      </c>
      <c r="M247" s="10" t="s">
        <v>54</v>
      </c>
      <c r="N247" s="12" t="s">
        <v>1476</v>
      </c>
      <c r="O247" s="9" t="s">
        <v>2414</v>
      </c>
      <c r="P247" s="9"/>
      <c r="Q247" s="7"/>
      <c r="R247" s="1"/>
    </row>
    <row r="248" spans="1:18" ht="51">
      <c r="A248" s="1"/>
      <c r="B248" s="6"/>
      <c r="C248" s="11">
        <f>SUBTOTAL(103,$D$4:D248)</f>
        <v>245</v>
      </c>
      <c r="D248" s="9" t="s">
        <v>1413</v>
      </c>
      <c r="E248" s="12" t="s">
        <v>1478</v>
      </c>
      <c r="F248" s="10" t="s">
        <v>8</v>
      </c>
      <c r="G248" s="12" t="s">
        <v>55</v>
      </c>
      <c r="H248" s="80" t="s">
        <v>10</v>
      </c>
      <c r="I248" s="10" t="s">
        <v>54</v>
      </c>
      <c r="J248" s="12" t="s">
        <v>9</v>
      </c>
      <c r="K248" s="10" t="s">
        <v>54</v>
      </c>
      <c r="L248" s="81" t="s">
        <v>177</v>
      </c>
      <c r="M248" s="10" t="s">
        <v>54</v>
      </c>
      <c r="N248" s="81" t="s">
        <v>177</v>
      </c>
      <c r="O248" s="9" t="s">
        <v>1479</v>
      </c>
      <c r="P248" s="9"/>
      <c r="Q248" s="7"/>
      <c r="R248" s="1"/>
    </row>
    <row r="249" spans="1:18" ht="102">
      <c r="A249" s="1"/>
      <c r="B249" s="6"/>
      <c r="C249" s="11">
        <f>SUBTOTAL(103,$D$4:D249)</f>
        <v>246</v>
      </c>
      <c r="D249" s="9" t="s">
        <v>1413</v>
      </c>
      <c r="E249" s="12" t="s">
        <v>1484</v>
      </c>
      <c r="F249" s="10" t="s">
        <v>22</v>
      </c>
      <c r="G249" s="12" t="s">
        <v>55</v>
      </c>
      <c r="H249" s="83" t="s">
        <v>1480</v>
      </c>
      <c r="I249" s="9" t="s">
        <v>54</v>
      </c>
      <c r="J249" s="83" t="s">
        <v>1481</v>
      </c>
      <c r="K249" s="10" t="s">
        <v>54</v>
      </c>
      <c r="L249" s="83" t="s">
        <v>1482</v>
      </c>
      <c r="M249" s="10" t="s">
        <v>54</v>
      </c>
      <c r="N249" s="12" t="s">
        <v>1483</v>
      </c>
      <c r="O249" s="9" t="s">
        <v>1485</v>
      </c>
      <c r="P249" s="9"/>
      <c r="Q249" s="7"/>
      <c r="R249" s="1"/>
    </row>
    <row r="250" spans="1:18" ht="187">
      <c r="A250" s="1"/>
      <c r="B250" s="6"/>
      <c r="C250" s="11">
        <f>SUBTOTAL(103,$D$4:D250)</f>
        <v>247</v>
      </c>
      <c r="D250" s="9" t="s">
        <v>1413</v>
      </c>
      <c r="E250" s="12" t="s">
        <v>1486</v>
      </c>
      <c r="F250" s="10" t="s">
        <v>22</v>
      </c>
      <c r="G250" s="9" t="s">
        <v>54</v>
      </c>
      <c r="H250" s="12" t="s">
        <v>1489</v>
      </c>
      <c r="I250" s="9" t="s">
        <v>54</v>
      </c>
      <c r="J250" s="12" t="s">
        <v>1474</v>
      </c>
      <c r="K250" s="12" t="s">
        <v>55</v>
      </c>
      <c r="L250" s="12" t="s">
        <v>1488</v>
      </c>
      <c r="M250" s="10" t="s">
        <v>54</v>
      </c>
      <c r="N250" s="12" t="s">
        <v>1490</v>
      </c>
      <c r="O250" s="9" t="s">
        <v>1487</v>
      </c>
      <c r="P250" s="9"/>
      <c r="Q250" s="7"/>
      <c r="R250" s="1"/>
    </row>
    <row r="251" spans="1:18" ht="102">
      <c r="A251" s="1"/>
      <c r="B251" s="6"/>
      <c r="C251" s="11">
        <f>SUBTOTAL(103,$D$4:D251)</f>
        <v>248</v>
      </c>
      <c r="D251" s="9" t="s">
        <v>1413</v>
      </c>
      <c r="E251" s="12" t="s">
        <v>1491</v>
      </c>
      <c r="F251" s="10" t="s">
        <v>8</v>
      </c>
      <c r="G251" s="12" t="s">
        <v>55</v>
      </c>
      <c r="H251" s="80" t="s">
        <v>10</v>
      </c>
      <c r="I251" s="10" t="s">
        <v>54</v>
      </c>
      <c r="J251" s="12" t="s">
        <v>9</v>
      </c>
      <c r="K251" s="10" t="s">
        <v>54</v>
      </c>
      <c r="L251" s="81" t="s">
        <v>177</v>
      </c>
      <c r="M251" s="10" t="s">
        <v>54</v>
      </c>
      <c r="N251" s="81" t="s">
        <v>177</v>
      </c>
      <c r="O251" s="9"/>
      <c r="P251" s="9"/>
      <c r="Q251" s="7"/>
      <c r="R251" s="1"/>
    </row>
    <row r="252" spans="1:18" ht="102">
      <c r="A252" s="1"/>
      <c r="B252" s="6"/>
      <c r="C252" s="11">
        <f>SUBTOTAL(103,$D$4:D252)</f>
        <v>249</v>
      </c>
      <c r="D252" s="9" t="s">
        <v>1413</v>
      </c>
      <c r="E252" s="12" t="s">
        <v>1492</v>
      </c>
      <c r="F252" s="10" t="s">
        <v>8</v>
      </c>
      <c r="G252" s="12" t="s">
        <v>55</v>
      </c>
      <c r="H252" s="80" t="s">
        <v>10</v>
      </c>
      <c r="I252" s="10" t="s">
        <v>54</v>
      </c>
      <c r="J252" s="12" t="s">
        <v>9</v>
      </c>
      <c r="K252" s="10" t="s">
        <v>54</v>
      </c>
      <c r="L252" s="81" t="s">
        <v>177</v>
      </c>
      <c r="M252" s="10" t="s">
        <v>54</v>
      </c>
      <c r="N252" s="81" t="s">
        <v>177</v>
      </c>
      <c r="O252" s="9"/>
      <c r="P252" s="9"/>
      <c r="Q252" s="7"/>
      <c r="R252" s="1"/>
    </row>
    <row r="253" spans="1:18" ht="255">
      <c r="A253" s="1"/>
      <c r="B253" s="6"/>
      <c r="C253" s="11">
        <f>SUBTOTAL(103,$D$4:D253)</f>
        <v>250</v>
      </c>
      <c r="D253" s="9" t="s">
        <v>1413</v>
      </c>
      <c r="E253" s="12" t="s">
        <v>2416</v>
      </c>
      <c r="F253" s="10" t="s">
        <v>22</v>
      </c>
      <c r="G253" s="10" t="s">
        <v>54</v>
      </c>
      <c r="H253" s="84" t="s">
        <v>1820</v>
      </c>
      <c r="I253" s="10" t="s">
        <v>54</v>
      </c>
      <c r="J253" s="85" t="s">
        <v>1819</v>
      </c>
      <c r="K253" s="10" t="s">
        <v>54</v>
      </c>
      <c r="L253" s="80" t="s">
        <v>1818</v>
      </c>
      <c r="M253" s="12" t="s">
        <v>55</v>
      </c>
      <c r="N253" s="80" t="s">
        <v>1817</v>
      </c>
      <c r="O253" s="9" t="s">
        <v>2415</v>
      </c>
      <c r="P253" s="9"/>
      <c r="Q253" s="7"/>
      <c r="R253" s="1"/>
    </row>
    <row r="254" spans="1:18" ht="51">
      <c r="A254" s="1"/>
      <c r="B254" s="6"/>
      <c r="C254" s="11">
        <f>SUBTOTAL(103,$D$4:D254)</f>
        <v>251</v>
      </c>
      <c r="D254" s="9" t="s">
        <v>1413</v>
      </c>
      <c r="E254" s="12" t="s">
        <v>1821</v>
      </c>
      <c r="F254" s="10" t="s">
        <v>8</v>
      </c>
      <c r="G254" s="12" t="s">
        <v>55</v>
      </c>
      <c r="H254" s="80" t="s">
        <v>10</v>
      </c>
      <c r="I254" s="10" t="s">
        <v>54</v>
      </c>
      <c r="J254" s="12" t="s">
        <v>9</v>
      </c>
      <c r="K254" s="10" t="s">
        <v>54</v>
      </c>
      <c r="L254" s="81" t="s">
        <v>177</v>
      </c>
      <c r="M254" s="10" t="s">
        <v>54</v>
      </c>
      <c r="N254" s="81" t="s">
        <v>177</v>
      </c>
      <c r="O254" s="9" t="s">
        <v>1822</v>
      </c>
      <c r="P254" s="9"/>
      <c r="Q254" s="7"/>
      <c r="R254" s="1"/>
    </row>
    <row r="255" spans="1:18" ht="119">
      <c r="A255" s="1"/>
      <c r="B255" s="6"/>
      <c r="C255" s="11">
        <f>SUBTOTAL(103,$D$4:D255)</f>
        <v>252</v>
      </c>
      <c r="D255" s="9" t="s">
        <v>1413</v>
      </c>
      <c r="E255" s="12" t="s">
        <v>1823</v>
      </c>
      <c r="F255" s="10" t="s">
        <v>22</v>
      </c>
      <c r="G255" s="12" t="s">
        <v>55</v>
      </c>
      <c r="H255" s="12">
        <v>0.92400000000000004</v>
      </c>
      <c r="I255" s="10" t="s">
        <v>54</v>
      </c>
      <c r="J255" s="12">
        <v>0.82399999999999995</v>
      </c>
      <c r="K255" s="10" t="s">
        <v>54</v>
      </c>
      <c r="L255" s="80">
        <v>0.7</v>
      </c>
      <c r="M255" s="10" t="s">
        <v>54</v>
      </c>
      <c r="N255" s="80">
        <v>0.8</v>
      </c>
      <c r="O255" s="9" t="s">
        <v>1824</v>
      </c>
      <c r="P255" s="9"/>
      <c r="Q255" s="7"/>
      <c r="R255" s="1"/>
    </row>
    <row r="256" spans="1:18" ht="34">
      <c r="A256" s="1"/>
      <c r="B256" s="6"/>
      <c r="C256" s="11">
        <f>SUBTOTAL(103,$D$4:D256)</f>
        <v>253</v>
      </c>
      <c r="D256" s="9" t="s">
        <v>1413</v>
      </c>
      <c r="E256" s="12" t="s">
        <v>1826</v>
      </c>
      <c r="F256" s="10" t="s">
        <v>22</v>
      </c>
      <c r="G256" s="10" t="s">
        <v>54</v>
      </c>
      <c r="H256" s="85" t="s">
        <v>1830</v>
      </c>
      <c r="I256" s="10" t="s">
        <v>54</v>
      </c>
      <c r="J256" s="85" t="s">
        <v>1829</v>
      </c>
      <c r="K256" s="10" t="s">
        <v>54</v>
      </c>
      <c r="L256" s="80" t="s">
        <v>1828</v>
      </c>
      <c r="M256" s="12" t="s">
        <v>55</v>
      </c>
      <c r="N256" s="80" t="s">
        <v>1827</v>
      </c>
      <c r="O256" s="9"/>
      <c r="P256" s="9"/>
      <c r="Q256" s="7"/>
      <c r="R256" s="1"/>
    </row>
    <row r="257" spans="1:18" ht="153">
      <c r="A257" s="1"/>
      <c r="B257" s="6"/>
      <c r="C257" s="11">
        <f>SUBTOTAL(103,$D$4:D257)</f>
        <v>254</v>
      </c>
      <c r="D257" s="9" t="s">
        <v>1413</v>
      </c>
      <c r="E257" s="12" t="s">
        <v>2022</v>
      </c>
      <c r="F257" s="10" t="s">
        <v>22</v>
      </c>
      <c r="G257" s="10" t="s">
        <v>54</v>
      </c>
      <c r="H257" s="80" t="s">
        <v>2261</v>
      </c>
      <c r="I257" s="10" t="s">
        <v>54</v>
      </c>
      <c r="J257" s="95" t="s">
        <v>2260</v>
      </c>
      <c r="K257" s="10" t="s">
        <v>54</v>
      </c>
      <c r="L257" s="81" t="s">
        <v>2259</v>
      </c>
      <c r="M257" s="94" t="s">
        <v>55</v>
      </c>
      <c r="N257" s="81" t="s">
        <v>2258</v>
      </c>
      <c r="O257" s="9" t="s">
        <v>2323</v>
      </c>
      <c r="P257" s="104" t="s">
        <v>2437</v>
      </c>
      <c r="Q257" s="7"/>
      <c r="R257" s="1"/>
    </row>
    <row r="258" spans="1:18" ht="153">
      <c r="A258" s="1"/>
      <c r="B258" s="6"/>
      <c r="C258" s="11">
        <f>SUBTOTAL(103,$D$4:D258)</f>
        <v>255</v>
      </c>
      <c r="D258" s="9" t="s">
        <v>1413</v>
      </c>
      <c r="E258" s="12" t="s">
        <v>2058</v>
      </c>
      <c r="F258" s="89" t="s">
        <v>22</v>
      </c>
      <c r="G258" s="94" t="s">
        <v>55</v>
      </c>
      <c r="H258" s="90" t="s">
        <v>2059</v>
      </c>
      <c r="I258" s="10" t="s">
        <v>54</v>
      </c>
      <c r="J258" s="90" t="s">
        <v>2060</v>
      </c>
      <c r="K258" s="10" t="s">
        <v>54</v>
      </c>
      <c r="L258" s="95" t="s">
        <v>2061</v>
      </c>
      <c r="M258" s="10" t="s">
        <v>54</v>
      </c>
      <c r="N258" s="95" t="s">
        <v>2062</v>
      </c>
      <c r="O258" s="9" t="s">
        <v>2324</v>
      </c>
      <c r="P258" s="104" t="s">
        <v>2437</v>
      </c>
      <c r="Q258" s="7"/>
      <c r="R258" s="1"/>
    </row>
    <row r="259" spans="1:18" ht="102">
      <c r="A259" s="1"/>
      <c r="B259" s="6"/>
      <c r="C259" s="11">
        <f>SUBTOTAL(103,$D$4:D259)</f>
        <v>256</v>
      </c>
      <c r="D259" s="9" t="s">
        <v>1413</v>
      </c>
      <c r="E259" s="12" t="s">
        <v>2321</v>
      </c>
      <c r="F259" s="89" t="s">
        <v>22</v>
      </c>
      <c r="G259" s="94" t="s">
        <v>55</v>
      </c>
      <c r="H259" s="81" t="s">
        <v>2116</v>
      </c>
      <c r="I259" s="10" t="s">
        <v>54</v>
      </c>
      <c r="J259" s="81" t="s">
        <v>2117</v>
      </c>
      <c r="K259" s="10" t="s">
        <v>54</v>
      </c>
      <c r="L259" s="81" t="s">
        <v>2118</v>
      </c>
      <c r="M259" s="10" t="s">
        <v>54</v>
      </c>
      <c r="N259" s="81" t="s">
        <v>2119</v>
      </c>
      <c r="O259" s="9" t="s">
        <v>2322</v>
      </c>
      <c r="P259" s="104" t="s">
        <v>2437</v>
      </c>
      <c r="Q259" s="7"/>
      <c r="R259" s="1"/>
    </row>
    <row r="260" spans="1:18" ht="85">
      <c r="A260" s="1"/>
      <c r="B260" s="6"/>
      <c r="C260" s="11">
        <f>SUBTOTAL(103,$D$4:D260)</f>
        <v>257</v>
      </c>
      <c r="D260" s="9" t="s">
        <v>1413</v>
      </c>
      <c r="E260" s="12" t="s">
        <v>2120</v>
      </c>
      <c r="F260" s="10" t="s">
        <v>8</v>
      </c>
      <c r="G260" s="94" t="s">
        <v>55</v>
      </c>
      <c r="H260" s="80" t="s">
        <v>10</v>
      </c>
      <c r="I260" s="10" t="s">
        <v>54</v>
      </c>
      <c r="J260" s="12" t="s">
        <v>9</v>
      </c>
      <c r="K260" s="10" t="s">
        <v>54</v>
      </c>
      <c r="L260" s="81" t="s">
        <v>177</v>
      </c>
      <c r="M260" s="10" t="s">
        <v>54</v>
      </c>
      <c r="N260" s="81" t="s">
        <v>177</v>
      </c>
      <c r="O260" s="9"/>
      <c r="P260" s="104" t="s">
        <v>2437</v>
      </c>
      <c r="Q260" s="7"/>
      <c r="R260" s="1"/>
    </row>
    <row r="261" spans="1:18" ht="17">
      <c r="A261" s="1"/>
      <c r="B261" s="6"/>
      <c r="C261" s="11">
        <f>SUBTOTAL(103,$D$4:D261)</f>
        <v>258</v>
      </c>
      <c r="D261" s="9" t="s">
        <v>1413</v>
      </c>
      <c r="E261" s="12" t="s">
        <v>2121</v>
      </c>
      <c r="F261" s="89" t="s">
        <v>22</v>
      </c>
      <c r="G261" s="94" t="s">
        <v>55</v>
      </c>
      <c r="H261" s="81" t="s">
        <v>2122</v>
      </c>
      <c r="I261" s="10" t="s">
        <v>54</v>
      </c>
      <c r="J261" s="81" t="s">
        <v>2123</v>
      </c>
      <c r="K261" s="10" t="s">
        <v>54</v>
      </c>
      <c r="L261" s="81" t="s">
        <v>2086</v>
      </c>
      <c r="M261" s="10" t="s">
        <v>54</v>
      </c>
      <c r="N261" s="81" t="s">
        <v>2052</v>
      </c>
      <c r="O261" s="9"/>
      <c r="P261" s="104" t="s">
        <v>2437</v>
      </c>
      <c r="Q261" s="7"/>
      <c r="R261" s="1"/>
    </row>
    <row r="262" spans="1:18" ht="51">
      <c r="A262" s="1"/>
      <c r="B262" s="6"/>
      <c r="C262" s="11">
        <f>SUBTOTAL(103,$D$4:D262)</f>
        <v>259</v>
      </c>
      <c r="D262" s="9" t="s">
        <v>1414</v>
      </c>
      <c r="E262" s="12" t="s">
        <v>540</v>
      </c>
      <c r="F262" s="10" t="s">
        <v>8</v>
      </c>
      <c r="G262" s="12" t="s">
        <v>55</v>
      </c>
      <c r="H262" s="80" t="s">
        <v>10</v>
      </c>
      <c r="I262" s="10" t="s">
        <v>54</v>
      </c>
      <c r="J262" s="12" t="s">
        <v>9</v>
      </c>
      <c r="K262" s="10" t="s">
        <v>54</v>
      </c>
      <c r="L262" s="81" t="s">
        <v>177</v>
      </c>
      <c r="M262" s="10" t="s">
        <v>54</v>
      </c>
      <c r="N262" s="81" t="s">
        <v>177</v>
      </c>
      <c r="O262" s="9"/>
      <c r="P262" s="11">
        <v>132</v>
      </c>
      <c r="Q262" s="7"/>
      <c r="R262" s="1"/>
    </row>
    <row r="263" spans="1:18" ht="51">
      <c r="A263" s="1"/>
      <c r="B263" s="6"/>
      <c r="C263" s="11">
        <f>SUBTOTAL(103,$D$4:D263)</f>
        <v>260</v>
      </c>
      <c r="D263" s="9" t="s">
        <v>1414</v>
      </c>
      <c r="E263" s="12" t="s">
        <v>541</v>
      </c>
      <c r="F263" s="10" t="s">
        <v>8</v>
      </c>
      <c r="G263" s="10" t="s">
        <v>54</v>
      </c>
      <c r="H263" s="80" t="s">
        <v>10</v>
      </c>
      <c r="I263" s="12" t="s">
        <v>55</v>
      </c>
      <c r="J263" s="12" t="s">
        <v>9</v>
      </c>
      <c r="K263" s="10" t="s">
        <v>54</v>
      </c>
      <c r="L263" s="81" t="s">
        <v>177</v>
      </c>
      <c r="M263" s="10" t="s">
        <v>54</v>
      </c>
      <c r="N263" s="81" t="s">
        <v>177</v>
      </c>
      <c r="O263" s="9" t="s">
        <v>1300</v>
      </c>
      <c r="P263" s="11">
        <v>133</v>
      </c>
      <c r="Q263" s="7"/>
      <c r="R263" s="1"/>
    </row>
    <row r="264" spans="1:18" ht="51">
      <c r="A264" s="1"/>
      <c r="B264" s="6"/>
      <c r="C264" s="11">
        <f>SUBTOTAL(103,$D$4:D264)</f>
        <v>261</v>
      </c>
      <c r="D264" s="9" t="s">
        <v>1414</v>
      </c>
      <c r="E264" s="12" t="s">
        <v>542</v>
      </c>
      <c r="F264" s="10" t="s">
        <v>8</v>
      </c>
      <c r="G264" s="12" t="s">
        <v>55</v>
      </c>
      <c r="H264" s="80" t="s">
        <v>10</v>
      </c>
      <c r="I264" s="10" t="s">
        <v>54</v>
      </c>
      <c r="J264" s="12" t="s">
        <v>9</v>
      </c>
      <c r="K264" s="10" t="s">
        <v>54</v>
      </c>
      <c r="L264" s="81" t="s">
        <v>177</v>
      </c>
      <c r="M264" s="10" t="s">
        <v>54</v>
      </c>
      <c r="N264" s="81" t="s">
        <v>177</v>
      </c>
      <c r="O264" s="9"/>
      <c r="P264" s="11">
        <v>134</v>
      </c>
      <c r="Q264" s="7"/>
      <c r="R264" s="1"/>
    </row>
    <row r="265" spans="1:18" ht="85">
      <c r="A265" s="1"/>
      <c r="B265" s="6"/>
      <c r="C265" s="11">
        <f>SUBTOTAL(103,$D$4:D265)</f>
        <v>262</v>
      </c>
      <c r="D265" s="9" t="s">
        <v>1414</v>
      </c>
      <c r="E265" s="12" t="s">
        <v>543</v>
      </c>
      <c r="F265" s="10" t="s">
        <v>8</v>
      </c>
      <c r="G265" s="10" t="s">
        <v>54</v>
      </c>
      <c r="H265" s="80" t="s">
        <v>10</v>
      </c>
      <c r="I265" s="12" t="s">
        <v>55</v>
      </c>
      <c r="J265" s="12" t="s">
        <v>9</v>
      </c>
      <c r="K265" s="10" t="s">
        <v>54</v>
      </c>
      <c r="L265" s="81" t="s">
        <v>177</v>
      </c>
      <c r="M265" s="10" t="s">
        <v>54</v>
      </c>
      <c r="N265" s="81" t="s">
        <v>177</v>
      </c>
      <c r="O265" s="9"/>
      <c r="P265" s="11">
        <v>135</v>
      </c>
      <c r="Q265" s="7"/>
      <c r="R265" s="1"/>
    </row>
    <row r="266" spans="1:18" ht="34">
      <c r="A266" s="1"/>
      <c r="B266" s="6"/>
      <c r="C266" s="11">
        <f>SUBTOTAL(103,$D$4:D266)</f>
        <v>263</v>
      </c>
      <c r="D266" s="9" t="s">
        <v>1414</v>
      </c>
      <c r="E266" s="12" t="s">
        <v>544</v>
      </c>
      <c r="F266" s="10" t="s">
        <v>8</v>
      </c>
      <c r="G266" s="10" t="s">
        <v>54</v>
      </c>
      <c r="H266" s="80" t="s">
        <v>10</v>
      </c>
      <c r="I266" s="12" t="s">
        <v>55</v>
      </c>
      <c r="J266" s="12" t="s">
        <v>9</v>
      </c>
      <c r="K266" s="10" t="s">
        <v>54</v>
      </c>
      <c r="L266" s="81" t="s">
        <v>177</v>
      </c>
      <c r="M266" s="10" t="s">
        <v>54</v>
      </c>
      <c r="N266" s="81" t="s">
        <v>177</v>
      </c>
      <c r="O266" s="9" t="s">
        <v>545</v>
      </c>
      <c r="P266" s="11">
        <v>136</v>
      </c>
      <c r="Q266" s="7"/>
      <c r="R266" s="1"/>
    </row>
    <row r="267" spans="1:18" ht="68">
      <c r="A267" s="1"/>
      <c r="B267" s="6"/>
      <c r="C267" s="11">
        <f>SUBTOTAL(103,$D$4:D267)</f>
        <v>264</v>
      </c>
      <c r="D267" s="9" t="s">
        <v>1414</v>
      </c>
      <c r="E267" s="12" t="s">
        <v>546</v>
      </c>
      <c r="F267" s="10" t="s">
        <v>8</v>
      </c>
      <c r="G267" s="12" t="s">
        <v>55</v>
      </c>
      <c r="H267" s="80" t="s">
        <v>10</v>
      </c>
      <c r="I267" s="10" t="s">
        <v>54</v>
      </c>
      <c r="J267" s="12" t="s">
        <v>9</v>
      </c>
      <c r="K267" s="10" t="s">
        <v>54</v>
      </c>
      <c r="L267" s="81" t="s">
        <v>177</v>
      </c>
      <c r="M267" s="10" t="s">
        <v>54</v>
      </c>
      <c r="N267" s="81" t="s">
        <v>177</v>
      </c>
      <c r="O267" s="9"/>
      <c r="P267" s="11">
        <v>137</v>
      </c>
      <c r="Q267" s="7"/>
      <c r="R267" s="1"/>
    </row>
    <row r="268" spans="1:18" ht="34">
      <c r="A268" s="1"/>
      <c r="B268" s="6"/>
      <c r="C268" s="11">
        <f>SUBTOTAL(103,$D$4:D268)</f>
        <v>265</v>
      </c>
      <c r="D268" s="9" t="s">
        <v>1414</v>
      </c>
      <c r="E268" s="12" t="s">
        <v>547</v>
      </c>
      <c r="F268" s="10" t="s">
        <v>8</v>
      </c>
      <c r="G268" s="12" t="s">
        <v>55</v>
      </c>
      <c r="H268" s="80" t="s">
        <v>10</v>
      </c>
      <c r="I268" s="10" t="s">
        <v>54</v>
      </c>
      <c r="J268" s="12" t="s">
        <v>9</v>
      </c>
      <c r="K268" s="10" t="s">
        <v>54</v>
      </c>
      <c r="L268" s="81" t="s">
        <v>177</v>
      </c>
      <c r="M268" s="10" t="s">
        <v>54</v>
      </c>
      <c r="N268" s="81" t="s">
        <v>177</v>
      </c>
      <c r="O268" s="9"/>
      <c r="P268" s="11">
        <v>138</v>
      </c>
      <c r="Q268" s="7"/>
      <c r="R268" s="1"/>
    </row>
    <row r="269" spans="1:18" ht="34">
      <c r="A269" s="1"/>
      <c r="B269" s="6"/>
      <c r="C269" s="11">
        <f>SUBTOTAL(103,$D$4:D269)</f>
        <v>266</v>
      </c>
      <c r="D269" s="9" t="s">
        <v>1414</v>
      </c>
      <c r="E269" s="12" t="s">
        <v>548</v>
      </c>
      <c r="F269" s="10" t="s">
        <v>8</v>
      </c>
      <c r="G269" s="12" t="s">
        <v>55</v>
      </c>
      <c r="H269" s="80" t="s">
        <v>10</v>
      </c>
      <c r="I269" s="10" t="s">
        <v>54</v>
      </c>
      <c r="J269" s="12" t="s">
        <v>9</v>
      </c>
      <c r="K269" s="10" t="s">
        <v>54</v>
      </c>
      <c r="L269" s="81" t="s">
        <v>177</v>
      </c>
      <c r="M269" s="10" t="s">
        <v>54</v>
      </c>
      <c r="N269" s="81" t="s">
        <v>177</v>
      </c>
      <c r="O269" s="9"/>
      <c r="P269" s="11">
        <v>139</v>
      </c>
      <c r="Q269" s="7"/>
      <c r="R269" s="1"/>
    </row>
    <row r="270" spans="1:18" ht="51">
      <c r="A270" s="1"/>
      <c r="B270" s="6"/>
      <c r="C270" s="11">
        <f>SUBTOTAL(103,$D$4:D270)</f>
        <v>267</v>
      </c>
      <c r="D270" s="9" t="s">
        <v>1414</v>
      </c>
      <c r="E270" s="12" t="s">
        <v>549</v>
      </c>
      <c r="F270" s="10" t="s">
        <v>8</v>
      </c>
      <c r="G270" s="12" t="s">
        <v>55</v>
      </c>
      <c r="H270" s="80" t="s">
        <v>10</v>
      </c>
      <c r="I270" s="10" t="s">
        <v>54</v>
      </c>
      <c r="J270" s="12" t="s">
        <v>9</v>
      </c>
      <c r="K270" s="10" t="s">
        <v>54</v>
      </c>
      <c r="L270" s="81" t="s">
        <v>177</v>
      </c>
      <c r="M270" s="10" t="s">
        <v>54</v>
      </c>
      <c r="N270" s="81" t="s">
        <v>177</v>
      </c>
      <c r="O270" s="9"/>
      <c r="P270" s="11">
        <v>140</v>
      </c>
      <c r="Q270" s="7"/>
      <c r="R270" s="1"/>
    </row>
    <row r="271" spans="1:18" ht="34">
      <c r="A271" s="1"/>
      <c r="B271" s="6"/>
      <c r="C271" s="11">
        <f>SUBTOTAL(103,$D$4:D271)</f>
        <v>268</v>
      </c>
      <c r="D271" s="9" t="s">
        <v>1414</v>
      </c>
      <c r="E271" s="12" t="s">
        <v>550</v>
      </c>
      <c r="F271" s="10" t="s">
        <v>8</v>
      </c>
      <c r="G271" s="12" t="s">
        <v>55</v>
      </c>
      <c r="H271" s="80" t="s">
        <v>10</v>
      </c>
      <c r="I271" s="10" t="s">
        <v>54</v>
      </c>
      <c r="J271" s="12" t="s">
        <v>9</v>
      </c>
      <c r="K271" s="10" t="s">
        <v>54</v>
      </c>
      <c r="L271" s="81" t="s">
        <v>177</v>
      </c>
      <c r="M271" s="10" t="s">
        <v>54</v>
      </c>
      <c r="N271" s="81" t="s">
        <v>177</v>
      </c>
      <c r="O271" s="9"/>
      <c r="P271" s="11">
        <v>141</v>
      </c>
      <c r="Q271" s="7"/>
      <c r="R271" s="1"/>
    </row>
    <row r="272" spans="1:18" ht="51">
      <c r="A272" s="1"/>
      <c r="B272" s="6"/>
      <c r="C272" s="11">
        <f>SUBTOTAL(103,$D$4:D272)</f>
        <v>269</v>
      </c>
      <c r="D272" s="9" t="s">
        <v>1414</v>
      </c>
      <c r="E272" s="12" t="s">
        <v>551</v>
      </c>
      <c r="F272" s="10" t="s">
        <v>8</v>
      </c>
      <c r="G272" s="10" t="s">
        <v>54</v>
      </c>
      <c r="H272" s="80" t="s">
        <v>10</v>
      </c>
      <c r="I272" s="12" t="s">
        <v>55</v>
      </c>
      <c r="J272" s="12" t="s">
        <v>9</v>
      </c>
      <c r="K272" s="10" t="s">
        <v>54</v>
      </c>
      <c r="L272" s="81" t="s">
        <v>177</v>
      </c>
      <c r="M272" s="10" t="s">
        <v>54</v>
      </c>
      <c r="N272" s="81" t="s">
        <v>177</v>
      </c>
      <c r="O272" s="9"/>
      <c r="P272" s="11">
        <v>142</v>
      </c>
      <c r="Q272" s="7"/>
      <c r="R272" s="1"/>
    </row>
    <row r="273" spans="1:18" ht="34">
      <c r="A273" s="1"/>
      <c r="B273" s="6"/>
      <c r="C273" s="11">
        <f>SUBTOTAL(103,$D$4:D273)</f>
        <v>270</v>
      </c>
      <c r="D273" s="9" t="s">
        <v>1414</v>
      </c>
      <c r="E273" s="12" t="s">
        <v>552</v>
      </c>
      <c r="F273" s="10" t="s">
        <v>8</v>
      </c>
      <c r="G273" s="12" t="s">
        <v>55</v>
      </c>
      <c r="H273" s="80" t="s">
        <v>10</v>
      </c>
      <c r="I273" s="10" t="s">
        <v>54</v>
      </c>
      <c r="J273" s="12" t="s">
        <v>9</v>
      </c>
      <c r="K273" s="10" t="s">
        <v>54</v>
      </c>
      <c r="L273" s="81" t="s">
        <v>177</v>
      </c>
      <c r="M273" s="10" t="s">
        <v>54</v>
      </c>
      <c r="N273" s="81" t="s">
        <v>177</v>
      </c>
      <c r="O273" s="9"/>
      <c r="P273" s="11">
        <v>143</v>
      </c>
      <c r="Q273" s="7"/>
      <c r="R273" s="1"/>
    </row>
    <row r="274" spans="1:18" ht="34">
      <c r="A274" s="1"/>
      <c r="B274" s="6"/>
      <c r="C274" s="11">
        <f>SUBTOTAL(103,$D$4:D274)</f>
        <v>271</v>
      </c>
      <c r="D274" s="9" t="s">
        <v>1414</v>
      </c>
      <c r="E274" s="12" t="s">
        <v>553</v>
      </c>
      <c r="F274" s="10" t="s">
        <v>8</v>
      </c>
      <c r="G274" s="12" t="s">
        <v>55</v>
      </c>
      <c r="H274" s="80" t="s">
        <v>10</v>
      </c>
      <c r="I274" s="10" t="s">
        <v>54</v>
      </c>
      <c r="J274" s="12" t="s">
        <v>9</v>
      </c>
      <c r="K274" s="10" t="s">
        <v>54</v>
      </c>
      <c r="L274" s="81" t="s">
        <v>177</v>
      </c>
      <c r="M274" s="10" t="s">
        <v>54</v>
      </c>
      <c r="N274" s="81" t="s">
        <v>177</v>
      </c>
      <c r="O274" s="9"/>
      <c r="P274" s="11">
        <v>144</v>
      </c>
      <c r="Q274" s="7"/>
      <c r="R274" s="1"/>
    </row>
    <row r="275" spans="1:18" ht="34">
      <c r="A275" s="1"/>
      <c r="B275" s="6"/>
      <c r="C275" s="11">
        <f>SUBTOTAL(103,$D$4:D275)</f>
        <v>272</v>
      </c>
      <c r="D275" s="9" t="s">
        <v>1414</v>
      </c>
      <c r="E275" s="12" t="s">
        <v>554</v>
      </c>
      <c r="F275" s="10" t="s">
        <v>8</v>
      </c>
      <c r="G275" s="12" t="s">
        <v>55</v>
      </c>
      <c r="H275" s="80" t="s">
        <v>10</v>
      </c>
      <c r="I275" s="10" t="s">
        <v>54</v>
      </c>
      <c r="J275" s="12" t="s">
        <v>9</v>
      </c>
      <c r="K275" s="10" t="s">
        <v>54</v>
      </c>
      <c r="L275" s="81" t="s">
        <v>177</v>
      </c>
      <c r="M275" s="10" t="s">
        <v>54</v>
      </c>
      <c r="N275" s="81" t="s">
        <v>177</v>
      </c>
      <c r="O275" s="9"/>
      <c r="P275" s="11">
        <v>145</v>
      </c>
      <c r="Q275" s="7"/>
      <c r="R275" s="1"/>
    </row>
    <row r="276" spans="1:18" ht="51">
      <c r="A276" s="1"/>
      <c r="B276" s="6"/>
      <c r="C276" s="11">
        <f>SUBTOTAL(103,$D$4:D276)</f>
        <v>273</v>
      </c>
      <c r="D276" s="9" t="s">
        <v>1414</v>
      </c>
      <c r="E276" s="12" t="s">
        <v>555</v>
      </c>
      <c r="F276" s="10" t="s">
        <v>8</v>
      </c>
      <c r="G276" s="12" t="s">
        <v>55</v>
      </c>
      <c r="H276" s="80" t="s">
        <v>10</v>
      </c>
      <c r="I276" s="10" t="s">
        <v>54</v>
      </c>
      <c r="J276" s="12" t="s">
        <v>9</v>
      </c>
      <c r="K276" s="10" t="s">
        <v>54</v>
      </c>
      <c r="L276" s="81" t="s">
        <v>177</v>
      </c>
      <c r="M276" s="10" t="s">
        <v>54</v>
      </c>
      <c r="N276" s="81" t="s">
        <v>177</v>
      </c>
      <c r="O276" s="9"/>
      <c r="P276" s="11">
        <v>146</v>
      </c>
      <c r="Q276" s="7"/>
      <c r="R276" s="1"/>
    </row>
    <row r="277" spans="1:18" ht="34">
      <c r="A277" s="1"/>
      <c r="B277" s="6"/>
      <c r="C277" s="11">
        <f>SUBTOTAL(103,$D$4:D277)</f>
        <v>274</v>
      </c>
      <c r="D277" s="9" t="s">
        <v>1414</v>
      </c>
      <c r="E277" s="12" t="s">
        <v>556</v>
      </c>
      <c r="F277" s="10" t="s">
        <v>8</v>
      </c>
      <c r="G277" s="10" t="s">
        <v>54</v>
      </c>
      <c r="H277" s="80" t="s">
        <v>10</v>
      </c>
      <c r="I277" s="12" t="s">
        <v>55</v>
      </c>
      <c r="J277" s="12" t="s">
        <v>9</v>
      </c>
      <c r="K277" s="10" t="s">
        <v>54</v>
      </c>
      <c r="L277" s="81" t="s">
        <v>177</v>
      </c>
      <c r="M277" s="10" t="s">
        <v>54</v>
      </c>
      <c r="N277" s="81" t="s">
        <v>177</v>
      </c>
      <c r="O277" s="9"/>
      <c r="P277" s="11">
        <v>147</v>
      </c>
      <c r="Q277" s="7"/>
      <c r="R277" s="1"/>
    </row>
    <row r="278" spans="1:18" ht="17">
      <c r="A278" s="1"/>
      <c r="B278" s="6"/>
      <c r="C278" s="11">
        <f>SUBTOTAL(103,$D$4:D278)</f>
        <v>275</v>
      </c>
      <c r="D278" s="9" t="s">
        <v>1414</v>
      </c>
      <c r="E278" s="12" t="s">
        <v>557</v>
      </c>
      <c r="F278" s="10" t="s">
        <v>8</v>
      </c>
      <c r="G278" s="10" t="s">
        <v>54</v>
      </c>
      <c r="H278" s="80" t="s">
        <v>10</v>
      </c>
      <c r="I278" s="12" t="s">
        <v>55</v>
      </c>
      <c r="J278" s="12" t="s">
        <v>9</v>
      </c>
      <c r="K278" s="10" t="s">
        <v>54</v>
      </c>
      <c r="L278" s="81" t="s">
        <v>177</v>
      </c>
      <c r="M278" s="10" t="s">
        <v>54</v>
      </c>
      <c r="N278" s="81" t="s">
        <v>177</v>
      </c>
      <c r="O278" s="9"/>
      <c r="P278" s="11">
        <v>148</v>
      </c>
      <c r="Q278" s="7"/>
      <c r="R278" s="1"/>
    </row>
    <row r="279" spans="1:18" ht="34">
      <c r="A279" s="1"/>
      <c r="B279" s="6"/>
      <c r="C279" s="11">
        <f>SUBTOTAL(103,$D$4:D279)</f>
        <v>276</v>
      </c>
      <c r="D279" s="9" t="s">
        <v>1414</v>
      </c>
      <c r="E279" s="12" t="s">
        <v>558</v>
      </c>
      <c r="F279" s="10" t="s">
        <v>12</v>
      </c>
      <c r="G279" s="12" t="s">
        <v>55</v>
      </c>
      <c r="H279" s="81" t="s">
        <v>559</v>
      </c>
      <c r="I279" s="12" t="s">
        <v>55</v>
      </c>
      <c r="J279" s="81" t="s">
        <v>560</v>
      </c>
      <c r="K279" s="12" t="s">
        <v>55</v>
      </c>
      <c r="L279" s="81" t="s">
        <v>710</v>
      </c>
      <c r="M279" s="10" t="s">
        <v>54</v>
      </c>
      <c r="N279" s="81" t="s">
        <v>781</v>
      </c>
      <c r="O279" s="9"/>
      <c r="P279" s="11">
        <v>149</v>
      </c>
      <c r="Q279" s="7"/>
      <c r="R279" s="1"/>
    </row>
    <row r="280" spans="1:18" ht="85">
      <c r="A280" s="1"/>
      <c r="B280" s="6"/>
      <c r="C280" s="11">
        <f>SUBTOTAL(103,$D$4:D280)</f>
        <v>277</v>
      </c>
      <c r="D280" s="9" t="s">
        <v>1414</v>
      </c>
      <c r="E280" s="12" t="s">
        <v>561</v>
      </c>
      <c r="F280" s="10" t="s">
        <v>22</v>
      </c>
      <c r="G280" s="10" t="s">
        <v>54</v>
      </c>
      <c r="H280" s="81" t="s">
        <v>562</v>
      </c>
      <c r="I280" s="12" t="s">
        <v>55</v>
      </c>
      <c r="J280" s="81" t="s">
        <v>563</v>
      </c>
      <c r="K280" s="10" t="s">
        <v>54</v>
      </c>
      <c r="L280" s="81" t="s">
        <v>711</v>
      </c>
      <c r="M280" s="10" t="s">
        <v>54</v>
      </c>
      <c r="N280" s="81" t="s">
        <v>782</v>
      </c>
      <c r="O280" s="9"/>
      <c r="P280" s="11">
        <v>150</v>
      </c>
      <c r="Q280" s="7"/>
      <c r="R280" s="1"/>
    </row>
    <row r="281" spans="1:18" ht="102">
      <c r="A281" s="1"/>
      <c r="B281" s="6"/>
      <c r="C281" s="11">
        <f>SUBTOTAL(103,$D$4:D281)</f>
        <v>278</v>
      </c>
      <c r="D281" s="9" t="s">
        <v>1414</v>
      </c>
      <c r="E281" s="12" t="s">
        <v>564</v>
      </c>
      <c r="F281" s="10" t="s">
        <v>22</v>
      </c>
      <c r="G281" s="10" t="s">
        <v>54</v>
      </c>
      <c r="H281" s="81" t="s">
        <v>565</v>
      </c>
      <c r="I281" s="10" t="s">
        <v>54</v>
      </c>
      <c r="J281" s="81" t="s">
        <v>566</v>
      </c>
      <c r="K281" s="12" t="s">
        <v>55</v>
      </c>
      <c r="L281" s="81" t="s">
        <v>567</v>
      </c>
      <c r="M281" s="10" t="s">
        <v>54</v>
      </c>
      <c r="N281" s="81" t="s">
        <v>568</v>
      </c>
      <c r="O281" s="9" t="s">
        <v>1879</v>
      </c>
      <c r="P281" s="11">
        <v>151</v>
      </c>
      <c r="Q281" s="7"/>
      <c r="R281" s="1"/>
    </row>
    <row r="282" spans="1:18" ht="102">
      <c r="A282" s="1"/>
      <c r="B282" s="6"/>
      <c r="C282" s="11">
        <f>SUBTOTAL(103,$D$4:D282)</f>
        <v>279</v>
      </c>
      <c r="D282" s="9" t="s">
        <v>1414</v>
      </c>
      <c r="E282" s="12" t="s">
        <v>569</v>
      </c>
      <c r="F282" s="10" t="s">
        <v>22</v>
      </c>
      <c r="G282" s="10" t="s">
        <v>54</v>
      </c>
      <c r="H282" s="81" t="s">
        <v>570</v>
      </c>
      <c r="I282" s="10" t="s">
        <v>54</v>
      </c>
      <c r="J282" s="81" t="s">
        <v>571</v>
      </c>
      <c r="K282" s="10" t="s">
        <v>54</v>
      </c>
      <c r="L282" s="81" t="s">
        <v>712</v>
      </c>
      <c r="M282" s="12" t="s">
        <v>55</v>
      </c>
      <c r="N282" s="81" t="s">
        <v>783</v>
      </c>
      <c r="O282" s="9"/>
      <c r="P282" s="11">
        <v>152</v>
      </c>
      <c r="Q282" s="7"/>
      <c r="R282" s="1"/>
    </row>
    <row r="283" spans="1:18" ht="68">
      <c r="A283" s="1"/>
      <c r="B283" s="6"/>
      <c r="C283" s="11">
        <f>SUBTOTAL(103,$D$4:D283)</f>
        <v>280</v>
      </c>
      <c r="D283" s="9" t="s">
        <v>1414</v>
      </c>
      <c r="E283" s="12" t="s">
        <v>572</v>
      </c>
      <c r="F283" s="10" t="s">
        <v>22</v>
      </c>
      <c r="G283" s="10" t="s">
        <v>54</v>
      </c>
      <c r="H283" s="81" t="s">
        <v>573</v>
      </c>
      <c r="I283" s="10" t="s">
        <v>54</v>
      </c>
      <c r="J283" s="81" t="s">
        <v>574</v>
      </c>
      <c r="K283" s="10" t="s">
        <v>54</v>
      </c>
      <c r="L283" s="81" t="s">
        <v>713</v>
      </c>
      <c r="M283" s="12" t="s">
        <v>55</v>
      </c>
      <c r="N283" s="81" t="s">
        <v>784</v>
      </c>
      <c r="O283" s="9"/>
      <c r="P283" s="11">
        <v>153</v>
      </c>
      <c r="Q283" s="7"/>
      <c r="R283" s="1"/>
    </row>
    <row r="284" spans="1:18" ht="85">
      <c r="A284" s="1"/>
      <c r="B284" s="6"/>
      <c r="C284" s="11">
        <f>SUBTOTAL(103,$D$4:D284)</f>
        <v>281</v>
      </c>
      <c r="D284" s="9" t="s">
        <v>1414</v>
      </c>
      <c r="E284" s="12" t="s">
        <v>575</v>
      </c>
      <c r="F284" s="10" t="s">
        <v>22</v>
      </c>
      <c r="G284" s="12" t="s">
        <v>55</v>
      </c>
      <c r="H284" s="81" t="s">
        <v>576</v>
      </c>
      <c r="I284" s="10" t="s">
        <v>54</v>
      </c>
      <c r="J284" s="81" t="s">
        <v>577</v>
      </c>
      <c r="K284" s="10" t="s">
        <v>54</v>
      </c>
      <c r="L284" s="81" t="s">
        <v>714</v>
      </c>
      <c r="M284" s="10" t="s">
        <v>54</v>
      </c>
      <c r="N284" s="81" t="s">
        <v>785</v>
      </c>
      <c r="O284" s="9"/>
      <c r="P284" s="11">
        <v>154</v>
      </c>
      <c r="Q284" s="7"/>
      <c r="R284" s="1"/>
    </row>
    <row r="285" spans="1:18" ht="34">
      <c r="A285" s="1"/>
      <c r="B285" s="6"/>
      <c r="C285" s="11">
        <f>SUBTOTAL(103,$D$4:D285)</f>
        <v>282</v>
      </c>
      <c r="D285" s="9" t="s">
        <v>1414</v>
      </c>
      <c r="E285" s="12" t="s">
        <v>578</v>
      </c>
      <c r="F285" s="10" t="s">
        <v>22</v>
      </c>
      <c r="G285" s="12" t="s">
        <v>55</v>
      </c>
      <c r="H285" s="81" t="s">
        <v>579</v>
      </c>
      <c r="I285" s="10" t="s">
        <v>54</v>
      </c>
      <c r="J285" s="81" t="s">
        <v>580</v>
      </c>
      <c r="K285" s="10" t="s">
        <v>54</v>
      </c>
      <c r="L285" s="81" t="s">
        <v>715</v>
      </c>
      <c r="M285" s="10" t="s">
        <v>54</v>
      </c>
      <c r="N285" s="81" t="s">
        <v>786</v>
      </c>
      <c r="O285" s="9"/>
      <c r="P285" s="11">
        <v>155</v>
      </c>
      <c r="Q285" s="7"/>
      <c r="R285" s="1"/>
    </row>
    <row r="286" spans="1:18" ht="68">
      <c r="A286" s="1"/>
      <c r="B286" s="6"/>
      <c r="C286" s="11">
        <f>SUBTOTAL(103,$D$4:D286)</f>
        <v>283</v>
      </c>
      <c r="D286" s="9" t="s">
        <v>1414</v>
      </c>
      <c r="E286" s="12" t="s">
        <v>581</v>
      </c>
      <c r="F286" s="10" t="s">
        <v>22</v>
      </c>
      <c r="G286" s="10" t="s">
        <v>54</v>
      </c>
      <c r="H286" s="81" t="s">
        <v>582</v>
      </c>
      <c r="I286" s="10" t="s">
        <v>54</v>
      </c>
      <c r="J286" s="81" t="s">
        <v>583</v>
      </c>
      <c r="K286" s="10" t="s">
        <v>54</v>
      </c>
      <c r="L286" s="81" t="s">
        <v>716</v>
      </c>
      <c r="M286" s="12" t="s">
        <v>55</v>
      </c>
      <c r="N286" s="81" t="s">
        <v>787</v>
      </c>
      <c r="O286" s="9"/>
      <c r="P286" s="11">
        <v>156</v>
      </c>
      <c r="Q286" s="7"/>
      <c r="R286" s="1"/>
    </row>
    <row r="287" spans="1:18" ht="119">
      <c r="A287" s="1"/>
      <c r="B287" s="6"/>
      <c r="C287" s="11">
        <f>SUBTOTAL(103,$D$4:D287)</f>
        <v>284</v>
      </c>
      <c r="D287" s="9" t="s">
        <v>1414</v>
      </c>
      <c r="E287" s="12" t="s">
        <v>584</v>
      </c>
      <c r="F287" s="10" t="s">
        <v>22</v>
      </c>
      <c r="G287" s="12" t="s">
        <v>55</v>
      </c>
      <c r="H287" s="81" t="s">
        <v>470</v>
      </c>
      <c r="I287" s="10" t="s">
        <v>54</v>
      </c>
      <c r="J287" s="81" t="s">
        <v>585</v>
      </c>
      <c r="K287" s="10" t="s">
        <v>54</v>
      </c>
      <c r="L287" s="81" t="s">
        <v>467</v>
      </c>
      <c r="M287" s="10" t="s">
        <v>54</v>
      </c>
      <c r="N287" s="81" t="s">
        <v>788</v>
      </c>
      <c r="O287" s="9" t="s">
        <v>1884</v>
      </c>
      <c r="P287" s="11">
        <v>157</v>
      </c>
      <c r="Q287" s="7"/>
      <c r="R287" s="1"/>
    </row>
    <row r="288" spans="1:18" ht="119">
      <c r="A288" s="1"/>
      <c r="B288" s="6"/>
      <c r="C288" s="11">
        <f>SUBTOTAL(103,$D$4:D288)</f>
        <v>285</v>
      </c>
      <c r="D288" s="9" t="s">
        <v>1414</v>
      </c>
      <c r="E288" s="12" t="s">
        <v>586</v>
      </c>
      <c r="F288" s="10" t="s">
        <v>22</v>
      </c>
      <c r="G288" s="10" t="s">
        <v>54</v>
      </c>
      <c r="H288" s="81" t="s">
        <v>587</v>
      </c>
      <c r="I288" s="10" t="s">
        <v>54</v>
      </c>
      <c r="J288" s="81" t="s">
        <v>588</v>
      </c>
      <c r="K288" s="12" t="s">
        <v>55</v>
      </c>
      <c r="L288" s="81" t="s">
        <v>717</v>
      </c>
      <c r="M288" s="10" t="s">
        <v>54</v>
      </c>
      <c r="N288" s="81" t="s">
        <v>789</v>
      </c>
      <c r="O288" s="9" t="s">
        <v>1885</v>
      </c>
      <c r="P288" s="11">
        <v>158</v>
      </c>
      <c r="Q288" s="7"/>
      <c r="R288" s="1"/>
    </row>
    <row r="289" spans="1:18" ht="102">
      <c r="A289" s="1"/>
      <c r="B289" s="6"/>
      <c r="C289" s="11">
        <f>SUBTOTAL(103,$D$4:D289)</f>
        <v>286</v>
      </c>
      <c r="D289" s="9" t="s">
        <v>1414</v>
      </c>
      <c r="E289" s="12" t="s">
        <v>589</v>
      </c>
      <c r="F289" s="10" t="s">
        <v>22</v>
      </c>
      <c r="G289" s="10" t="s">
        <v>54</v>
      </c>
      <c r="H289" s="81" t="s">
        <v>493</v>
      </c>
      <c r="I289" s="12" t="s">
        <v>55</v>
      </c>
      <c r="J289" s="81" t="s">
        <v>491</v>
      </c>
      <c r="K289" s="10" t="s">
        <v>54</v>
      </c>
      <c r="L289" s="81" t="s">
        <v>718</v>
      </c>
      <c r="M289" s="10" t="s">
        <v>54</v>
      </c>
      <c r="N289" s="81" t="s">
        <v>790</v>
      </c>
      <c r="O289" s="9"/>
      <c r="P289" s="11">
        <v>159</v>
      </c>
      <c r="Q289" s="7"/>
      <c r="R289" s="1"/>
    </row>
    <row r="290" spans="1:18" ht="34">
      <c r="A290" s="1"/>
      <c r="B290" s="6"/>
      <c r="C290" s="11">
        <f>SUBTOTAL(103,$D$4:D290)</f>
        <v>287</v>
      </c>
      <c r="D290" s="9" t="s">
        <v>1414</v>
      </c>
      <c r="E290" s="12" t="s">
        <v>2287</v>
      </c>
      <c r="F290" s="10" t="s">
        <v>22</v>
      </c>
      <c r="G290" s="10" t="s">
        <v>54</v>
      </c>
      <c r="H290" s="81" t="s">
        <v>325</v>
      </c>
      <c r="I290" s="10" t="s">
        <v>54</v>
      </c>
      <c r="J290" s="81" t="s">
        <v>590</v>
      </c>
      <c r="K290" s="12" t="s">
        <v>55</v>
      </c>
      <c r="L290" s="81" t="s">
        <v>326</v>
      </c>
      <c r="M290" s="10" t="s">
        <v>54</v>
      </c>
      <c r="N290" s="81" t="s">
        <v>591</v>
      </c>
      <c r="O290" s="9"/>
      <c r="P290" s="11">
        <v>160</v>
      </c>
      <c r="Q290" s="7"/>
      <c r="R290" s="1"/>
    </row>
    <row r="291" spans="1:18" ht="51">
      <c r="A291" s="1"/>
      <c r="B291" s="6"/>
      <c r="C291" s="11">
        <f>SUBTOTAL(103,$D$4:D291)</f>
        <v>288</v>
      </c>
      <c r="D291" s="9" t="s">
        <v>1414</v>
      </c>
      <c r="E291" s="12" t="s">
        <v>592</v>
      </c>
      <c r="F291" s="10" t="s">
        <v>8</v>
      </c>
      <c r="G291" s="12" t="s">
        <v>55</v>
      </c>
      <c r="H291" s="80" t="s">
        <v>10</v>
      </c>
      <c r="I291" s="10" t="s">
        <v>54</v>
      </c>
      <c r="J291" s="12" t="s">
        <v>9</v>
      </c>
      <c r="K291" s="10" t="s">
        <v>54</v>
      </c>
      <c r="L291" s="81" t="s">
        <v>177</v>
      </c>
      <c r="M291" s="10" t="s">
        <v>54</v>
      </c>
      <c r="N291" s="81" t="s">
        <v>177</v>
      </c>
      <c r="O291" s="9"/>
      <c r="P291" s="11">
        <v>161</v>
      </c>
      <c r="Q291" s="7"/>
      <c r="R291" s="1"/>
    </row>
    <row r="292" spans="1:18" ht="85">
      <c r="A292" s="1"/>
      <c r="B292" s="6"/>
      <c r="C292" s="11">
        <f>SUBTOTAL(103,$D$4:D292)</f>
        <v>289</v>
      </c>
      <c r="D292" s="9" t="s">
        <v>1414</v>
      </c>
      <c r="E292" s="12" t="s">
        <v>593</v>
      </c>
      <c r="F292" s="10" t="s">
        <v>8</v>
      </c>
      <c r="G292" s="10" t="s">
        <v>54</v>
      </c>
      <c r="H292" s="80" t="s">
        <v>10</v>
      </c>
      <c r="I292" s="12" t="s">
        <v>55</v>
      </c>
      <c r="J292" s="12" t="s">
        <v>9</v>
      </c>
      <c r="K292" s="10" t="s">
        <v>54</v>
      </c>
      <c r="L292" s="81" t="s">
        <v>177</v>
      </c>
      <c r="M292" s="10" t="s">
        <v>54</v>
      </c>
      <c r="N292" s="81" t="s">
        <v>177</v>
      </c>
      <c r="O292" s="9" t="s">
        <v>1895</v>
      </c>
      <c r="P292" s="11">
        <v>162</v>
      </c>
      <c r="Q292" s="7"/>
      <c r="R292" s="1"/>
    </row>
    <row r="293" spans="1:18" ht="34">
      <c r="A293" s="1"/>
      <c r="B293" s="6"/>
      <c r="C293" s="11">
        <f>SUBTOTAL(103,$D$4:D293)</f>
        <v>290</v>
      </c>
      <c r="D293" s="9" t="s">
        <v>1414</v>
      </c>
      <c r="E293" s="12" t="s">
        <v>594</v>
      </c>
      <c r="F293" s="10" t="s">
        <v>8</v>
      </c>
      <c r="G293" s="10" t="s">
        <v>54</v>
      </c>
      <c r="H293" s="80" t="s">
        <v>10</v>
      </c>
      <c r="I293" s="12" t="s">
        <v>55</v>
      </c>
      <c r="J293" s="12" t="s">
        <v>9</v>
      </c>
      <c r="K293" s="10" t="s">
        <v>54</v>
      </c>
      <c r="L293" s="81" t="s">
        <v>177</v>
      </c>
      <c r="M293" s="10" t="s">
        <v>54</v>
      </c>
      <c r="N293" s="81" t="s">
        <v>177</v>
      </c>
      <c r="O293" s="9"/>
      <c r="P293" s="11">
        <v>163</v>
      </c>
      <c r="Q293" s="7"/>
      <c r="R293" s="1"/>
    </row>
    <row r="294" spans="1:18" ht="102">
      <c r="A294" s="1"/>
      <c r="B294" s="6"/>
      <c r="C294" s="11">
        <f>SUBTOTAL(103,$D$4:D294)</f>
        <v>291</v>
      </c>
      <c r="D294" s="9" t="s">
        <v>1414</v>
      </c>
      <c r="E294" s="12" t="s">
        <v>595</v>
      </c>
      <c r="F294" s="10" t="s">
        <v>8</v>
      </c>
      <c r="G294" s="10" t="s">
        <v>54</v>
      </c>
      <c r="H294" s="80" t="s">
        <v>10</v>
      </c>
      <c r="I294" s="12" t="s">
        <v>55</v>
      </c>
      <c r="J294" s="12" t="s">
        <v>9</v>
      </c>
      <c r="K294" s="10" t="s">
        <v>54</v>
      </c>
      <c r="L294" s="81" t="s">
        <v>177</v>
      </c>
      <c r="M294" s="10" t="s">
        <v>54</v>
      </c>
      <c r="N294" s="81" t="s">
        <v>177</v>
      </c>
      <c r="O294" s="14" t="s">
        <v>2436</v>
      </c>
      <c r="P294" s="11">
        <v>164</v>
      </c>
      <c r="Q294" s="7"/>
      <c r="R294" s="1"/>
    </row>
    <row r="295" spans="1:18" ht="102">
      <c r="A295" s="1"/>
      <c r="B295" s="6"/>
      <c r="C295" s="11">
        <f>SUBTOTAL(103,$D$4:D295)</f>
        <v>292</v>
      </c>
      <c r="D295" s="9" t="s">
        <v>1414</v>
      </c>
      <c r="E295" s="12" t="s">
        <v>596</v>
      </c>
      <c r="F295" s="10" t="s">
        <v>8</v>
      </c>
      <c r="G295" s="10" t="s">
        <v>54</v>
      </c>
      <c r="H295" s="80" t="s">
        <v>10</v>
      </c>
      <c r="I295" s="12" t="s">
        <v>55</v>
      </c>
      <c r="J295" s="12" t="s">
        <v>9</v>
      </c>
      <c r="K295" s="10" t="s">
        <v>54</v>
      </c>
      <c r="L295" s="81" t="s">
        <v>177</v>
      </c>
      <c r="M295" s="10" t="s">
        <v>54</v>
      </c>
      <c r="N295" s="81" t="s">
        <v>177</v>
      </c>
      <c r="O295" s="9">
        <v>282</v>
      </c>
      <c r="P295" s="11">
        <v>165</v>
      </c>
      <c r="Q295" s="7"/>
      <c r="R295" s="1"/>
    </row>
    <row r="296" spans="1:18" ht="68">
      <c r="A296" s="1"/>
      <c r="B296" s="6"/>
      <c r="C296" s="11">
        <f>SUBTOTAL(103,$D$4:D296)</f>
        <v>293</v>
      </c>
      <c r="D296" s="9" t="s">
        <v>1414</v>
      </c>
      <c r="E296" s="12" t="s">
        <v>597</v>
      </c>
      <c r="F296" s="10" t="s">
        <v>8</v>
      </c>
      <c r="G296" s="12" t="s">
        <v>55</v>
      </c>
      <c r="H296" s="80" t="s">
        <v>10</v>
      </c>
      <c r="I296" s="10" t="s">
        <v>54</v>
      </c>
      <c r="J296" s="12" t="s">
        <v>9</v>
      </c>
      <c r="K296" s="10" t="s">
        <v>54</v>
      </c>
      <c r="L296" s="81" t="s">
        <v>177</v>
      </c>
      <c r="M296" s="10" t="s">
        <v>54</v>
      </c>
      <c r="N296" s="81" t="s">
        <v>177</v>
      </c>
      <c r="O296" s="9"/>
      <c r="P296" s="11">
        <v>166</v>
      </c>
      <c r="Q296" s="7"/>
      <c r="R296" s="1"/>
    </row>
    <row r="297" spans="1:18" ht="51">
      <c r="A297" s="1"/>
      <c r="B297" s="6"/>
      <c r="C297" s="11">
        <f>SUBTOTAL(103,$D$4:D297)</f>
        <v>294</v>
      </c>
      <c r="D297" s="9" t="s">
        <v>1414</v>
      </c>
      <c r="E297" s="12" t="s">
        <v>598</v>
      </c>
      <c r="F297" s="10" t="s">
        <v>8</v>
      </c>
      <c r="G297" s="10" t="s">
        <v>54</v>
      </c>
      <c r="H297" s="80" t="s">
        <v>10</v>
      </c>
      <c r="I297" s="12" t="s">
        <v>55</v>
      </c>
      <c r="J297" s="12" t="s">
        <v>9</v>
      </c>
      <c r="K297" s="10" t="s">
        <v>54</v>
      </c>
      <c r="L297" s="81" t="s">
        <v>177</v>
      </c>
      <c r="M297" s="10" t="s">
        <v>54</v>
      </c>
      <c r="N297" s="81" t="s">
        <v>177</v>
      </c>
      <c r="O297" s="9"/>
      <c r="P297" s="11">
        <v>167</v>
      </c>
      <c r="Q297" s="7"/>
      <c r="R297" s="1"/>
    </row>
    <row r="298" spans="1:18" ht="34">
      <c r="A298" s="1"/>
      <c r="B298" s="6"/>
      <c r="C298" s="11">
        <f>SUBTOTAL(103,$D$4:D298)</f>
        <v>295</v>
      </c>
      <c r="D298" s="9" t="s">
        <v>1414</v>
      </c>
      <c r="E298" s="12" t="s">
        <v>599</v>
      </c>
      <c r="F298" s="10" t="s">
        <v>8</v>
      </c>
      <c r="G298" s="12" t="s">
        <v>55</v>
      </c>
      <c r="H298" s="80" t="s">
        <v>10</v>
      </c>
      <c r="I298" s="10" t="s">
        <v>54</v>
      </c>
      <c r="J298" s="12" t="s">
        <v>9</v>
      </c>
      <c r="K298" s="10" t="s">
        <v>54</v>
      </c>
      <c r="L298" s="81" t="s">
        <v>177</v>
      </c>
      <c r="M298" s="10" t="s">
        <v>54</v>
      </c>
      <c r="N298" s="81" t="s">
        <v>177</v>
      </c>
      <c r="O298" s="9"/>
      <c r="P298" s="11">
        <v>168</v>
      </c>
      <c r="Q298" s="7"/>
      <c r="R298" s="1"/>
    </row>
    <row r="299" spans="1:18" ht="119">
      <c r="A299" s="1"/>
      <c r="B299" s="6"/>
      <c r="C299" s="11">
        <f>SUBTOTAL(103,$D$4:D299)</f>
        <v>296</v>
      </c>
      <c r="D299" s="9" t="s">
        <v>1414</v>
      </c>
      <c r="E299" s="12" t="s">
        <v>600</v>
      </c>
      <c r="F299" s="10" t="s">
        <v>8</v>
      </c>
      <c r="G299" s="10" t="s">
        <v>54</v>
      </c>
      <c r="H299" s="80" t="s">
        <v>10</v>
      </c>
      <c r="I299" s="12" t="s">
        <v>55</v>
      </c>
      <c r="J299" s="12" t="s">
        <v>9</v>
      </c>
      <c r="K299" s="10" t="s">
        <v>54</v>
      </c>
      <c r="L299" s="81" t="s">
        <v>177</v>
      </c>
      <c r="M299" s="10" t="s">
        <v>54</v>
      </c>
      <c r="N299" s="81" t="s">
        <v>177</v>
      </c>
      <c r="O299" s="9" t="s">
        <v>2418</v>
      </c>
      <c r="P299" s="11">
        <v>169</v>
      </c>
      <c r="Q299" s="7"/>
      <c r="R299" s="1"/>
    </row>
    <row r="300" spans="1:18" ht="34">
      <c r="A300" s="1"/>
      <c r="B300" s="6"/>
      <c r="C300" s="11">
        <f>SUBTOTAL(103,$D$4:D300)</f>
        <v>297</v>
      </c>
      <c r="D300" s="9" t="s">
        <v>1414</v>
      </c>
      <c r="E300" s="12" t="s">
        <v>601</v>
      </c>
      <c r="F300" s="10" t="s">
        <v>8</v>
      </c>
      <c r="G300" s="12" t="s">
        <v>55</v>
      </c>
      <c r="H300" s="80" t="s">
        <v>10</v>
      </c>
      <c r="I300" s="10" t="s">
        <v>54</v>
      </c>
      <c r="J300" s="12" t="s">
        <v>9</v>
      </c>
      <c r="K300" s="10" t="s">
        <v>54</v>
      </c>
      <c r="L300" s="81" t="s">
        <v>177</v>
      </c>
      <c r="M300" s="10" t="s">
        <v>54</v>
      </c>
      <c r="N300" s="81" t="s">
        <v>177</v>
      </c>
      <c r="O300" s="9"/>
      <c r="P300" s="11">
        <v>170</v>
      </c>
      <c r="Q300" s="7"/>
      <c r="R300" s="1"/>
    </row>
    <row r="301" spans="1:18" ht="68">
      <c r="A301" s="1"/>
      <c r="B301" s="6"/>
      <c r="C301" s="11">
        <f>SUBTOTAL(103,$D$4:D301)</f>
        <v>298</v>
      </c>
      <c r="D301" s="9" t="s">
        <v>1414</v>
      </c>
      <c r="E301" s="12" t="s">
        <v>602</v>
      </c>
      <c r="F301" s="10" t="s">
        <v>8</v>
      </c>
      <c r="G301" s="12" t="s">
        <v>55</v>
      </c>
      <c r="H301" s="80" t="s">
        <v>10</v>
      </c>
      <c r="I301" s="10" t="s">
        <v>54</v>
      </c>
      <c r="J301" s="12" t="s">
        <v>9</v>
      </c>
      <c r="K301" s="10" t="s">
        <v>54</v>
      </c>
      <c r="L301" s="81" t="s">
        <v>177</v>
      </c>
      <c r="M301" s="10" t="s">
        <v>54</v>
      </c>
      <c r="N301" s="81" t="s">
        <v>177</v>
      </c>
      <c r="O301" s="9"/>
      <c r="P301" s="11">
        <v>171</v>
      </c>
      <c r="Q301" s="7"/>
      <c r="R301" s="1"/>
    </row>
    <row r="302" spans="1:18" ht="102">
      <c r="A302" s="1"/>
      <c r="B302" s="6"/>
      <c r="C302" s="11">
        <f>SUBTOTAL(103,$D$4:D302)</f>
        <v>299</v>
      </c>
      <c r="D302" s="9" t="s">
        <v>1414</v>
      </c>
      <c r="E302" s="12" t="s">
        <v>603</v>
      </c>
      <c r="F302" s="10" t="s">
        <v>8</v>
      </c>
      <c r="G302" s="12" t="s">
        <v>55</v>
      </c>
      <c r="H302" s="80" t="s">
        <v>10</v>
      </c>
      <c r="I302" s="10" t="s">
        <v>54</v>
      </c>
      <c r="J302" s="12" t="s">
        <v>9</v>
      </c>
      <c r="K302" s="10" t="s">
        <v>54</v>
      </c>
      <c r="L302" s="81" t="s">
        <v>177</v>
      </c>
      <c r="M302" s="10" t="s">
        <v>54</v>
      </c>
      <c r="N302" s="81" t="s">
        <v>177</v>
      </c>
      <c r="O302" s="9" t="s">
        <v>1894</v>
      </c>
      <c r="P302" s="11">
        <v>172</v>
      </c>
      <c r="Q302" s="7"/>
      <c r="R302" s="1"/>
    </row>
    <row r="303" spans="1:18" ht="51">
      <c r="A303" s="1"/>
      <c r="B303" s="6"/>
      <c r="C303" s="11">
        <f>SUBTOTAL(103,$D$4:D303)</f>
        <v>300</v>
      </c>
      <c r="D303" s="9" t="s">
        <v>1414</v>
      </c>
      <c r="E303" s="12" t="s">
        <v>604</v>
      </c>
      <c r="F303" s="10" t="s">
        <v>8</v>
      </c>
      <c r="G303" s="12" t="s">
        <v>55</v>
      </c>
      <c r="H303" s="80" t="s">
        <v>10</v>
      </c>
      <c r="I303" s="10" t="s">
        <v>54</v>
      </c>
      <c r="J303" s="12" t="s">
        <v>9</v>
      </c>
      <c r="K303" s="10" t="s">
        <v>54</v>
      </c>
      <c r="L303" s="81" t="s">
        <v>177</v>
      </c>
      <c r="M303" s="10" t="s">
        <v>54</v>
      </c>
      <c r="N303" s="81" t="s">
        <v>177</v>
      </c>
      <c r="O303" s="9"/>
      <c r="P303" s="11">
        <v>173</v>
      </c>
      <c r="Q303" s="7"/>
      <c r="R303" s="1"/>
    </row>
    <row r="304" spans="1:18" ht="51">
      <c r="A304" s="1"/>
      <c r="B304" s="6"/>
      <c r="C304" s="11">
        <f>SUBTOTAL(103,$D$4:D304)</f>
        <v>301</v>
      </c>
      <c r="D304" s="9" t="s">
        <v>1414</v>
      </c>
      <c r="E304" s="12" t="s">
        <v>605</v>
      </c>
      <c r="F304" s="10" t="s">
        <v>8</v>
      </c>
      <c r="G304" s="12" t="s">
        <v>55</v>
      </c>
      <c r="H304" s="80" t="s">
        <v>10</v>
      </c>
      <c r="I304" s="10" t="s">
        <v>54</v>
      </c>
      <c r="J304" s="12" t="s">
        <v>9</v>
      </c>
      <c r="K304" s="10" t="s">
        <v>54</v>
      </c>
      <c r="L304" s="81" t="s">
        <v>177</v>
      </c>
      <c r="M304" s="10" t="s">
        <v>54</v>
      </c>
      <c r="N304" s="81" t="s">
        <v>177</v>
      </c>
      <c r="O304" s="9"/>
      <c r="P304" s="11">
        <v>174</v>
      </c>
      <c r="Q304" s="7"/>
      <c r="R304" s="1"/>
    </row>
    <row r="305" spans="1:18" ht="85">
      <c r="A305" s="1"/>
      <c r="B305" s="6"/>
      <c r="C305" s="11">
        <f>SUBTOTAL(103,$D$4:D305)</f>
        <v>302</v>
      </c>
      <c r="D305" s="9" t="s">
        <v>1414</v>
      </c>
      <c r="E305" s="12" t="s">
        <v>606</v>
      </c>
      <c r="F305" s="10" t="s">
        <v>8</v>
      </c>
      <c r="G305" s="12" t="s">
        <v>55</v>
      </c>
      <c r="H305" s="80" t="s">
        <v>10</v>
      </c>
      <c r="I305" s="10" t="s">
        <v>54</v>
      </c>
      <c r="J305" s="12" t="s">
        <v>9</v>
      </c>
      <c r="K305" s="10" t="s">
        <v>54</v>
      </c>
      <c r="L305" s="81" t="s">
        <v>177</v>
      </c>
      <c r="M305" s="10" t="s">
        <v>54</v>
      </c>
      <c r="N305" s="81" t="s">
        <v>177</v>
      </c>
      <c r="O305" s="9"/>
      <c r="P305" s="11">
        <v>175</v>
      </c>
      <c r="Q305" s="7"/>
      <c r="R305" s="1"/>
    </row>
    <row r="306" spans="1:18" ht="51">
      <c r="A306" s="1"/>
      <c r="B306" s="6"/>
      <c r="C306" s="11">
        <f>SUBTOTAL(103,$D$4:D306)</f>
        <v>303</v>
      </c>
      <c r="D306" s="9" t="s">
        <v>1414</v>
      </c>
      <c r="E306" s="12" t="s">
        <v>607</v>
      </c>
      <c r="F306" s="10" t="s">
        <v>8</v>
      </c>
      <c r="G306" s="12" t="s">
        <v>55</v>
      </c>
      <c r="H306" s="80" t="s">
        <v>10</v>
      </c>
      <c r="I306" s="10" t="s">
        <v>54</v>
      </c>
      <c r="J306" s="12" t="s">
        <v>9</v>
      </c>
      <c r="K306" s="10" t="s">
        <v>54</v>
      </c>
      <c r="L306" s="81" t="s">
        <v>177</v>
      </c>
      <c r="M306" s="10" t="s">
        <v>54</v>
      </c>
      <c r="N306" s="81" t="s">
        <v>177</v>
      </c>
      <c r="O306" s="9"/>
      <c r="P306" s="11">
        <v>176</v>
      </c>
      <c r="Q306" s="7"/>
      <c r="R306" s="1"/>
    </row>
    <row r="307" spans="1:18" ht="51">
      <c r="A307" s="1"/>
      <c r="B307" s="6"/>
      <c r="C307" s="11">
        <f>SUBTOTAL(103,$D$4:D307)</f>
        <v>304</v>
      </c>
      <c r="D307" s="9" t="s">
        <v>1414</v>
      </c>
      <c r="E307" s="12" t="s">
        <v>2286</v>
      </c>
      <c r="F307" s="10" t="s">
        <v>8</v>
      </c>
      <c r="G307" s="12" t="s">
        <v>55</v>
      </c>
      <c r="H307" s="80" t="s">
        <v>10</v>
      </c>
      <c r="I307" s="10" t="s">
        <v>54</v>
      </c>
      <c r="J307" s="12" t="s">
        <v>9</v>
      </c>
      <c r="K307" s="10" t="s">
        <v>54</v>
      </c>
      <c r="L307" s="81" t="s">
        <v>177</v>
      </c>
      <c r="M307" s="10" t="s">
        <v>54</v>
      </c>
      <c r="N307" s="81" t="s">
        <v>177</v>
      </c>
      <c r="O307" s="9"/>
      <c r="P307" s="11">
        <v>177</v>
      </c>
      <c r="Q307" s="7"/>
      <c r="R307" s="1"/>
    </row>
    <row r="308" spans="1:18" ht="34">
      <c r="A308" s="1"/>
      <c r="B308" s="6"/>
      <c r="C308" s="11">
        <f>SUBTOTAL(103,$D$4:D308)</f>
        <v>305</v>
      </c>
      <c r="D308" s="9" t="s">
        <v>1414</v>
      </c>
      <c r="E308" s="12" t="s">
        <v>608</v>
      </c>
      <c r="F308" s="10" t="s">
        <v>8</v>
      </c>
      <c r="G308" s="10" t="s">
        <v>54</v>
      </c>
      <c r="H308" s="80" t="s">
        <v>10</v>
      </c>
      <c r="I308" s="12" t="s">
        <v>55</v>
      </c>
      <c r="J308" s="12" t="s">
        <v>9</v>
      </c>
      <c r="K308" s="10" t="s">
        <v>54</v>
      </c>
      <c r="L308" s="81" t="s">
        <v>177</v>
      </c>
      <c r="M308" s="10" t="s">
        <v>54</v>
      </c>
      <c r="N308" s="81" t="s">
        <v>177</v>
      </c>
      <c r="O308" s="9" t="s">
        <v>2419</v>
      </c>
      <c r="P308" s="11">
        <v>178</v>
      </c>
      <c r="Q308" s="7"/>
      <c r="R308" s="1"/>
    </row>
    <row r="309" spans="1:18" ht="68">
      <c r="A309" s="1"/>
      <c r="B309" s="6"/>
      <c r="C309" s="11">
        <f>SUBTOTAL(103,$D$4:D309)</f>
        <v>306</v>
      </c>
      <c r="D309" s="9" t="s">
        <v>1414</v>
      </c>
      <c r="E309" s="12" t="s">
        <v>609</v>
      </c>
      <c r="F309" s="10" t="s">
        <v>12</v>
      </c>
      <c r="G309" s="12" t="s">
        <v>55</v>
      </c>
      <c r="H309" s="81" t="s">
        <v>610</v>
      </c>
      <c r="I309" s="10" t="s">
        <v>54</v>
      </c>
      <c r="J309" s="81" t="s">
        <v>611</v>
      </c>
      <c r="K309" s="10" t="s">
        <v>54</v>
      </c>
      <c r="L309" s="81" t="s">
        <v>719</v>
      </c>
      <c r="M309" s="12" t="s">
        <v>55</v>
      </c>
      <c r="N309" s="81" t="s">
        <v>791</v>
      </c>
      <c r="O309" s="9"/>
      <c r="P309" s="11">
        <v>179</v>
      </c>
      <c r="Q309" s="7"/>
      <c r="R309" s="1"/>
    </row>
    <row r="310" spans="1:18" ht="34">
      <c r="A310" s="1"/>
      <c r="B310" s="6"/>
      <c r="C310" s="11">
        <f>SUBTOTAL(103,$D$4:D310)</f>
        <v>307</v>
      </c>
      <c r="D310" s="9" t="s">
        <v>1414</v>
      </c>
      <c r="E310" s="12" t="s">
        <v>612</v>
      </c>
      <c r="F310" s="10" t="s">
        <v>12</v>
      </c>
      <c r="G310" s="12" t="s">
        <v>55</v>
      </c>
      <c r="H310" s="81" t="s">
        <v>613</v>
      </c>
      <c r="I310" s="10" t="s">
        <v>54</v>
      </c>
      <c r="J310" s="81" t="s">
        <v>614</v>
      </c>
      <c r="K310" s="12" t="s">
        <v>55</v>
      </c>
      <c r="L310" s="81" t="s">
        <v>720</v>
      </c>
      <c r="M310" s="12" t="s">
        <v>55</v>
      </c>
      <c r="N310" s="81" t="s">
        <v>792</v>
      </c>
      <c r="O310" s="9"/>
      <c r="P310" s="11">
        <v>180</v>
      </c>
      <c r="Q310" s="7"/>
      <c r="R310" s="1"/>
    </row>
    <row r="311" spans="1:18" ht="68">
      <c r="A311" s="1"/>
      <c r="B311" s="6"/>
      <c r="C311" s="11">
        <f>SUBTOTAL(103,$D$4:D311)</f>
        <v>308</v>
      </c>
      <c r="D311" s="9" t="s">
        <v>1414</v>
      </c>
      <c r="E311" s="12" t="s">
        <v>615</v>
      </c>
      <c r="F311" s="10" t="s">
        <v>12</v>
      </c>
      <c r="G311" s="12" t="s">
        <v>55</v>
      </c>
      <c r="H311" s="81" t="s">
        <v>617</v>
      </c>
      <c r="I311" s="10" t="s">
        <v>54</v>
      </c>
      <c r="J311" s="81" t="s">
        <v>618</v>
      </c>
      <c r="K311" s="10" t="s">
        <v>54</v>
      </c>
      <c r="L311" s="81" t="s">
        <v>721</v>
      </c>
      <c r="M311" s="12" t="s">
        <v>55</v>
      </c>
      <c r="N311" s="81" t="s">
        <v>793</v>
      </c>
      <c r="O311" s="9"/>
      <c r="P311" s="11">
        <v>181</v>
      </c>
      <c r="Q311" s="7"/>
      <c r="R311" s="1"/>
    </row>
    <row r="312" spans="1:18" ht="102">
      <c r="A312" s="1"/>
      <c r="B312" s="6"/>
      <c r="C312" s="11">
        <f>SUBTOTAL(103,$D$4:D312)</f>
        <v>309</v>
      </c>
      <c r="D312" s="9" t="s">
        <v>1414</v>
      </c>
      <c r="E312" s="12" t="s">
        <v>616</v>
      </c>
      <c r="F312" s="10" t="s">
        <v>22</v>
      </c>
      <c r="G312" s="10" t="s">
        <v>54</v>
      </c>
      <c r="H312" s="81" t="s">
        <v>619</v>
      </c>
      <c r="I312" s="10" t="s">
        <v>54</v>
      </c>
      <c r="J312" s="81" t="s">
        <v>620</v>
      </c>
      <c r="K312" s="10" t="s">
        <v>54</v>
      </c>
      <c r="L312" s="81" t="s">
        <v>722</v>
      </c>
      <c r="M312" s="12" t="s">
        <v>55</v>
      </c>
      <c r="N312" s="81" t="s">
        <v>621</v>
      </c>
      <c r="O312" s="9" t="s">
        <v>1896</v>
      </c>
      <c r="P312" s="11">
        <v>182</v>
      </c>
      <c r="Q312" s="7"/>
      <c r="R312" s="1"/>
    </row>
    <row r="313" spans="1:18" ht="136">
      <c r="A313" s="1"/>
      <c r="B313" s="6"/>
      <c r="C313" s="11">
        <f>SUBTOTAL(103,$D$4:D313)</f>
        <v>310</v>
      </c>
      <c r="D313" s="9" t="s">
        <v>1414</v>
      </c>
      <c r="E313" s="12" t="s">
        <v>622</v>
      </c>
      <c r="F313" s="10" t="s">
        <v>22</v>
      </c>
      <c r="G313" s="10" t="s">
        <v>54</v>
      </c>
      <c r="H313" s="81" t="s">
        <v>624</v>
      </c>
      <c r="I313" s="10" t="s">
        <v>54</v>
      </c>
      <c r="J313" s="81" t="s">
        <v>625</v>
      </c>
      <c r="K313" s="12" t="s">
        <v>55</v>
      </c>
      <c r="L313" s="81" t="s">
        <v>723</v>
      </c>
      <c r="M313" s="10" t="s">
        <v>54</v>
      </c>
      <c r="N313" s="81" t="s">
        <v>626</v>
      </c>
      <c r="O313" s="9" t="s">
        <v>1897</v>
      </c>
      <c r="P313" s="11">
        <v>183</v>
      </c>
      <c r="Q313" s="7"/>
      <c r="R313" s="1"/>
    </row>
    <row r="314" spans="1:18" ht="102">
      <c r="A314" s="1"/>
      <c r="B314" s="6"/>
      <c r="C314" s="11">
        <f>SUBTOTAL(103,$D$4:D314)</f>
        <v>311</v>
      </c>
      <c r="D314" s="9" t="s">
        <v>1414</v>
      </c>
      <c r="E314" s="12" t="s">
        <v>623</v>
      </c>
      <c r="F314" s="10" t="s">
        <v>22</v>
      </c>
      <c r="G314" s="10" t="s">
        <v>54</v>
      </c>
      <c r="H314" s="81" t="s">
        <v>627</v>
      </c>
      <c r="I314" s="12" t="s">
        <v>55</v>
      </c>
      <c r="J314" s="81" t="s">
        <v>628</v>
      </c>
      <c r="K314" s="10" t="s">
        <v>54</v>
      </c>
      <c r="L314" s="81" t="s">
        <v>629</v>
      </c>
      <c r="M314" s="10" t="s">
        <v>54</v>
      </c>
      <c r="N314" s="81" t="s">
        <v>794</v>
      </c>
      <c r="O314" s="9" t="s">
        <v>1893</v>
      </c>
      <c r="P314" s="11">
        <v>184</v>
      </c>
      <c r="Q314" s="7"/>
      <c r="R314" s="1"/>
    </row>
    <row r="315" spans="1:18" ht="51">
      <c r="A315" s="1"/>
      <c r="B315" s="6"/>
      <c r="C315" s="11">
        <f>SUBTOTAL(103,$D$4:D315)</f>
        <v>312</v>
      </c>
      <c r="D315" s="9" t="s">
        <v>1414</v>
      </c>
      <c r="E315" s="12" t="s">
        <v>630</v>
      </c>
      <c r="F315" s="10" t="s">
        <v>22</v>
      </c>
      <c r="G315" s="10" t="s">
        <v>54</v>
      </c>
      <c r="H315" s="81" t="s">
        <v>631</v>
      </c>
      <c r="I315" s="10" t="s">
        <v>54</v>
      </c>
      <c r="J315" s="81" t="s">
        <v>632</v>
      </c>
      <c r="K315" s="10" t="s">
        <v>54</v>
      </c>
      <c r="L315" s="81" t="s">
        <v>724</v>
      </c>
      <c r="M315" s="12" t="s">
        <v>55</v>
      </c>
      <c r="N315" s="81" t="s">
        <v>795</v>
      </c>
      <c r="O315" s="9"/>
      <c r="P315" s="11">
        <v>185</v>
      </c>
      <c r="Q315" s="7"/>
      <c r="R315" s="1"/>
    </row>
    <row r="316" spans="1:18" ht="102">
      <c r="A316" s="1"/>
      <c r="B316" s="6"/>
      <c r="C316" s="11">
        <f>SUBTOTAL(103,$D$4:D316)</f>
        <v>313</v>
      </c>
      <c r="D316" s="9" t="s">
        <v>1414</v>
      </c>
      <c r="E316" s="12" t="s">
        <v>633</v>
      </c>
      <c r="F316" s="10" t="s">
        <v>22</v>
      </c>
      <c r="G316" s="10" t="s">
        <v>54</v>
      </c>
      <c r="H316" s="81" t="s">
        <v>634</v>
      </c>
      <c r="I316" s="10" t="s">
        <v>54</v>
      </c>
      <c r="J316" s="81" t="s">
        <v>635</v>
      </c>
      <c r="K316" s="12" t="s">
        <v>55</v>
      </c>
      <c r="L316" s="81" t="s">
        <v>690</v>
      </c>
      <c r="M316" s="10" t="s">
        <v>54</v>
      </c>
      <c r="N316" s="81" t="s">
        <v>796</v>
      </c>
      <c r="O316" s="9"/>
      <c r="P316" s="11">
        <v>186</v>
      </c>
      <c r="Q316" s="7"/>
      <c r="R316" s="1"/>
    </row>
    <row r="317" spans="1:18" ht="102">
      <c r="A317" s="1"/>
      <c r="B317" s="6"/>
      <c r="C317" s="11">
        <f>SUBTOTAL(103,$D$4:D317)</f>
        <v>314</v>
      </c>
      <c r="D317" s="9" t="s">
        <v>1414</v>
      </c>
      <c r="E317" s="12" t="s">
        <v>636</v>
      </c>
      <c r="F317" s="10" t="s">
        <v>22</v>
      </c>
      <c r="G317" s="10" t="s">
        <v>54</v>
      </c>
      <c r="H317" s="81" t="s">
        <v>637</v>
      </c>
      <c r="I317" s="12" t="s">
        <v>55</v>
      </c>
      <c r="J317" s="81" t="s">
        <v>537</v>
      </c>
      <c r="K317" s="10" t="s">
        <v>54</v>
      </c>
      <c r="L317" s="81" t="s">
        <v>536</v>
      </c>
      <c r="M317" s="10" t="s">
        <v>54</v>
      </c>
      <c r="N317" s="81" t="s">
        <v>797</v>
      </c>
      <c r="O317" s="9"/>
      <c r="P317" s="11">
        <v>187</v>
      </c>
      <c r="Q317" s="7"/>
      <c r="R317" s="1"/>
    </row>
    <row r="318" spans="1:18" ht="85">
      <c r="A318" s="1"/>
      <c r="B318" s="6"/>
      <c r="C318" s="11">
        <f>SUBTOTAL(103,$D$4:D318)</f>
        <v>315</v>
      </c>
      <c r="D318" s="9" t="s">
        <v>1414</v>
      </c>
      <c r="E318" s="12" t="s">
        <v>638</v>
      </c>
      <c r="F318" s="10" t="s">
        <v>22</v>
      </c>
      <c r="G318" s="12" t="s">
        <v>55</v>
      </c>
      <c r="H318" s="81" t="s">
        <v>639</v>
      </c>
      <c r="I318" s="10" t="s">
        <v>54</v>
      </c>
      <c r="J318" s="81" t="s">
        <v>640</v>
      </c>
      <c r="K318" s="10" t="s">
        <v>54</v>
      </c>
      <c r="L318" s="81" t="s">
        <v>725</v>
      </c>
      <c r="M318" s="10" t="s">
        <v>54</v>
      </c>
      <c r="N318" s="81" t="s">
        <v>798</v>
      </c>
      <c r="O318" s="9"/>
      <c r="P318" s="11">
        <v>188</v>
      </c>
      <c r="Q318" s="7"/>
      <c r="R318" s="1"/>
    </row>
    <row r="319" spans="1:18" ht="102">
      <c r="A319" s="1"/>
      <c r="B319" s="6"/>
      <c r="C319" s="11">
        <f>SUBTOTAL(103,$D$4:D319)</f>
        <v>316</v>
      </c>
      <c r="D319" s="9" t="s">
        <v>1414</v>
      </c>
      <c r="E319" s="12" t="s">
        <v>641</v>
      </c>
      <c r="F319" s="10" t="s">
        <v>22</v>
      </c>
      <c r="G319" s="10" t="s">
        <v>54</v>
      </c>
      <c r="H319" s="81" t="s">
        <v>637</v>
      </c>
      <c r="I319" s="12" t="s">
        <v>55</v>
      </c>
      <c r="J319" s="81" t="s">
        <v>537</v>
      </c>
      <c r="K319" s="10" t="s">
        <v>54</v>
      </c>
      <c r="L319" s="81" t="s">
        <v>536</v>
      </c>
      <c r="M319" s="10" t="s">
        <v>54</v>
      </c>
      <c r="N319" s="81" t="s">
        <v>797</v>
      </c>
      <c r="O319" s="9"/>
      <c r="P319" s="11">
        <v>189</v>
      </c>
      <c r="Q319" s="7"/>
      <c r="R319" s="1"/>
    </row>
    <row r="320" spans="1:18" ht="34">
      <c r="A320" s="1"/>
      <c r="B320" s="6"/>
      <c r="C320" s="11">
        <f>SUBTOTAL(103,$D$4:D320)</f>
        <v>317</v>
      </c>
      <c r="D320" s="9" t="s">
        <v>1414</v>
      </c>
      <c r="E320" s="12" t="s">
        <v>642</v>
      </c>
      <c r="F320" s="10" t="s">
        <v>22</v>
      </c>
      <c r="G320" s="10" t="s">
        <v>54</v>
      </c>
      <c r="H320" s="81" t="s">
        <v>536</v>
      </c>
      <c r="I320" s="12" t="s">
        <v>55</v>
      </c>
      <c r="J320" s="81" t="s">
        <v>537</v>
      </c>
      <c r="K320" s="10" t="s">
        <v>54</v>
      </c>
      <c r="L320" s="81" t="s">
        <v>637</v>
      </c>
      <c r="M320" s="10" t="s">
        <v>54</v>
      </c>
      <c r="N320" s="81" t="s">
        <v>644</v>
      </c>
      <c r="O320" s="9"/>
      <c r="P320" s="11">
        <v>190</v>
      </c>
      <c r="Q320" s="7"/>
      <c r="R320" s="1"/>
    </row>
    <row r="321" spans="1:18" ht="68">
      <c r="A321" s="1"/>
      <c r="B321" s="6"/>
      <c r="C321" s="11">
        <f>SUBTOTAL(103,$D$4:D321)</f>
        <v>318</v>
      </c>
      <c r="D321" s="9" t="s">
        <v>1414</v>
      </c>
      <c r="E321" s="12" t="s">
        <v>643</v>
      </c>
      <c r="F321" s="10" t="s">
        <v>22</v>
      </c>
      <c r="G321" s="12" t="s">
        <v>55</v>
      </c>
      <c r="H321" s="81" t="s">
        <v>644</v>
      </c>
      <c r="I321" s="10" t="s">
        <v>54</v>
      </c>
      <c r="J321" s="81" t="s">
        <v>645</v>
      </c>
      <c r="K321" s="10" t="s">
        <v>54</v>
      </c>
      <c r="L321" s="81" t="s">
        <v>726</v>
      </c>
      <c r="M321" s="10" t="s">
        <v>54</v>
      </c>
      <c r="N321" s="81" t="s">
        <v>799</v>
      </c>
      <c r="O321" s="9"/>
      <c r="P321" s="11">
        <v>191</v>
      </c>
      <c r="Q321" s="7"/>
      <c r="R321" s="1"/>
    </row>
    <row r="322" spans="1:18" ht="102">
      <c r="A322" s="1"/>
      <c r="B322" s="6"/>
      <c r="C322" s="11">
        <f>SUBTOTAL(103,$D$4:D322)</f>
        <v>319</v>
      </c>
      <c r="D322" s="9" t="s">
        <v>1414</v>
      </c>
      <c r="E322" s="12" t="s">
        <v>646</v>
      </c>
      <c r="F322" s="10" t="s">
        <v>22</v>
      </c>
      <c r="G322" s="10" t="s">
        <v>54</v>
      </c>
      <c r="H322" s="81" t="s">
        <v>647</v>
      </c>
      <c r="I322" s="10" t="s">
        <v>54</v>
      </c>
      <c r="J322" s="81" t="s">
        <v>648</v>
      </c>
      <c r="K322" s="12" t="s">
        <v>55</v>
      </c>
      <c r="L322" s="81" t="s">
        <v>727</v>
      </c>
      <c r="M322" s="10" t="s">
        <v>54</v>
      </c>
      <c r="N322" s="81" t="s">
        <v>800</v>
      </c>
      <c r="O322" s="9"/>
      <c r="P322" s="11">
        <v>192</v>
      </c>
      <c r="Q322" s="7"/>
      <c r="R322" s="1"/>
    </row>
    <row r="323" spans="1:18" ht="51">
      <c r="A323" s="1"/>
      <c r="B323" s="6"/>
      <c r="C323" s="11">
        <f>SUBTOTAL(103,$D$4:D323)</f>
        <v>320</v>
      </c>
      <c r="D323" s="9" t="s">
        <v>1414</v>
      </c>
      <c r="E323" s="12" t="s">
        <v>630</v>
      </c>
      <c r="F323" s="10" t="s">
        <v>22</v>
      </c>
      <c r="G323" s="10" t="s">
        <v>54</v>
      </c>
      <c r="H323" s="81" t="s">
        <v>631</v>
      </c>
      <c r="I323" s="10" t="s">
        <v>54</v>
      </c>
      <c r="J323" s="81" t="s">
        <v>632</v>
      </c>
      <c r="K323" s="10" t="s">
        <v>54</v>
      </c>
      <c r="L323" s="81" t="s">
        <v>724</v>
      </c>
      <c r="M323" s="12" t="s">
        <v>55</v>
      </c>
      <c r="N323" s="81" t="s">
        <v>795</v>
      </c>
      <c r="O323" s="9"/>
      <c r="P323" s="11">
        <v>193</v>
      </c>
      <c r="Q323" s="7"/>
      <c r="R323" s="1"/>
    </row>
    <row r="324" spans="1:18" ht="85">
      <c r="A324" s="1"/>
      <c r="B324" s="6"/>
      <c r="C324" s="11">
        <f>SUBTOTAL(103,$D$4:D324)</f>
        <v>321</v>
      </c>
      <c r="D324" s="9" t="s">
        <v>1414</v>
      </c>
      <c r="E324" s="12" t="s">
        <v>649</v>
      </c>
      <c r="F324" s="10" t="s">
        <v>22</v>
      </c>
      <c r="G324" s="10" t="s">
        <v>54</v>
      </c>
      <c r="H324" s="81" t="s">
        <v>650</v>
      </c>
      <c r="I324" s="12" t="s">
        <v>55</v>
      </c>
      <c r="J324" s="81" t="s">
        <v>651</v>
      </c>
      <c r="K324" s="10" t="s">
        <v>54</v>
      </c>
      <c r="L324" s="81" t="s">
        <v>728</v>
      </c>
      <c r="M324" s="10" t="s">
        <v>54</v>
      </c>
      <c r="N324" s="81" t="s">
        <v>456</v>
      </c>
      <c r="O324" s="9"/>
      <c r="P324" s="11">
        <v>194</v>
      </c>
      <c r="Q324" s="7"/>
      <c r="R324" s="1"/>
    </row>
    <row r="325" spans="1:18" ht="51">
      <c r="A325" s="1"/>
      <c r="B325" s="6"/>
      <c r="C325" s="11">
        <f>SUBTOTAL(103,$D$4:D325)</f>
        <v>322</v>
      </c>
      <c r="D325" s="9" t="s">
        <v>1414</v>
      </c>
      <c r="E325" s="12" t="s">
        <v>652</v>
      </c>
      <c r="F325" s="10" t="s">
        <v>22</v>
      </c>
      <c r="G325" s="10" t="s">
        <v>54</v>
      </c>
      <c r="H325" s="81" t="s">
        <v>567</v>
      </c>
      <c r="I325" s="12" t="s">
        <v>55</v>
      </c>
      <c r="J325" s="81" t="s">
        <v>653</v>
      </c>
      <c r="K325" s="10" t="s">
        <v>54</v>
      </c>
      <c r="L325" s="81" t="s">
        <v>654</v>
      </c>
      <c r="M325" s="10" t="s">
        <v>54</v>
      </c>
      <c r="N325" s="81" t="s">
        <v>655</v>
      </c>
      <c r="O325" s="9" t="s">
        <v>1887</v>
      </c>
      <c r="P325" s="11">
        <v>195</v>
      </c>
      <c r="Q325" s="7"/>
      <c r="R325" s="1"/>
    </row>
    <row r="326" spans="1:18" ht="119">
      <c r="A326" s="1"/>
      <c r="B326" s="6"/>
      <c r="C326" s="11">
        <f>SUBTOTAL(103,$D$4:D326)</f>
        <v>323</v>
      </c>
      <c r="D326" s="9" t="s">
        <v>1414</v>
      </c>
      <c r="E326" s="12" t="s">
        <v>656</v>
      </c>
      <c r="F326" s="10" t="s">
        <v>22</v>
      </c>
      <c r="G326" s="10" t="s">
        <v>54</v>
      </c>
      <c r="H326" s="81" t="s">
        <v>657</v>
      </c>
      <c r="I326" s="10" t="s">
        <v>54</v>
      </c>
      <c r="J326" s="81" t="s">
        <v>658</v>
      </c>
      <c r="K326" s="10" t="s">
        <v>54</v>
      </c>
      <c r="L326" s="81" t="s">
        <v>729</v>
      </c>
      <c r="M326" s="12" t="s">
        <v>55</v>
      </c>
      <c r="N326" s="81" t="s">
        <v>685</v>
      </c>
      <c r="O326" s="9" t="s">
        <v>1888</v>
      </c>
      <c r="P326" s="11">
        <v>196</v>
      </c>
      <c r="Q326" s="7"/>
      <c r="R326" s="1"/>
    </row>
    <row r="327" spans="1:18" ht="68">
      <c r="A327" s="1"/>
      <c r="B327" s="6"/>
      <c r="C327" s="11">
        <f>SUBTOTAL(103,$D$4:D327)</f>
        <v>324</v>
      </c>
      <c r="D327" s="9" t="s">
        <v>1414</v>
      </c>
      <c r="E327" s="12" t="s">
        <v>659</v>
      </c>
      <c r="F327" s="10" t="s">
        <v>22</v>
      </c>
      <c r="G327" s="10" t="s">
        <v>54</v>
      </c>
      <c r="H327" s="81" t="s">
        <v>660</v>
      </c>
      <c r="I327" s="10" t="s">
        <v>54</v>
      </c>
      <c r="J327" s="81" t="s">
        <v>661</v>
      </c>
      <c r="K327" s="12" t="s">
        <v>55</v>
      </c>
      <c r="L327" s="81" t="s">
        <v>730</v>
      </c>
      <c r="M327" s="10" t="s">
        <v>54</v>
      </c>
      <c r="N327" s="81" t="s">
        <v>686</v>
      </c>
      <c r="O327" s="9" t="s">
        <v>1880</v>
      </c>
      <c r="P327" s="11">
        <v>197</v>
      </c>
      <c r="Q327" s="7"/>
      <c r="R327" s="1"/>
    </row>
    <row r="328" spans="1:18" ht="34">
      <c r="A328" s="1"/>
      <c r="B328" s="6"/>
      <c r="C328" s="11">
        <f>SUBTOTAL(103,$D$4:D328)</f>
        <v>325</v>
      </c>
      <c r="D328" s="9" t="s">
        <v>1414</v>
      </c>
      <c r="E328" s="12" t="s">
        <v>662</v>
      </c>
      <c r="F328" s="10" t="s">
        <v>22</v>
      </c>
      <c r="G328" s="10" t="s">
        <v>54</v>
      </c>
      <c r="H328" s="81" t="s">
        <v>663</v>
      </c>
      <c r="I328" s="12" t="s">
        <v>55</v>
      </c>
      <c r="J328" s="81" t="s">
        <v>664</v>
      </c>
      <c r="K328" s="10" t="s">
        <v>54</v>
      </c>
      <c r="L328" s="81" t="s">
        <v>731</v>
      </c>
      <c r="M328" s="10" t="s">
        <v>54</v>
      </c>
      <c r="N328" s="81" t="s">
        <v>687</v>
      </c>
      <c r="O328" s="9"/>
      <c r="P328" s="11">
        <v>198</v>
      </c>
      <c r="Q328" s="7"/>
      <c r="R328" s="1"/>
    </row>
    <row r="329" spans="1:18" ht="119">
      <c r="A329" s="1"/>
      <c r="B329" s="6"/>
      <c r="C329" s="11">
        <f>SUBTOTAL(103,$D$4:D329)</f>
        <v>326</v>
      </c>
      <c r="D329" s="9" t="s">
        <v>1414</v>
      </c>
      <c r="E329" s="12" t="s">
        <v>665</v>
      </c>
      <c r="F329" s="10" t="s">
        <v>22</v>
      </c>
      <c r="G329" s="10" t="s">
        <v>54</v>
      </c>
      <c r="H329" s="81" t="s">
        <v>666</v>
      </c>
      <c r="I329" s="12" t="s">
        <v>55</v>
      </c>
      <c r="J329" s="81" t="s">
        <v>667</v>
      </c>
      <c r="K329" s="10" t="s">
        <v>54</v>
      </c>
      <c r="L329" s="81" t="s">
        <v>732</v>
      </c>
      <c r="M329" s="10" t="s">
        <v>54</v>
      </c>
      <c r="N329" s="81" t="s">
        <v>688</v>
      </c>
      <c r="O329" s="14" t="s">
        <v>1889</v>
      </c>
      <c r="P329" s="11">
        <v>199</v>
      </c>
      <c r="Q329" s="7"/>
      <c r="R329" s="1"/>
    </row>
    <row r="330" spans="1:18" ht="85">
      <c r="A330" s="1"/>
      <c r="B330" s="6"/>
      <c r="C330" s="11">
        <f>SUBTOTAL(103,$D$4:D330)</f>
        <v>327</v>
      </c>
      <c r="D330" s="9" t="s">
        <v>1414</v>
      </c>
      <c r="E330" s="12" t="s">
        <v>668</v>
      </c>
      <c r="F330" s="10" t="s">
        <v>22</v>
      </c>
      <c r="G330" s="12" t="s">
        <v>55</v>
      </c>
      <c r="H330" s="81" t="s">
        <v>669</v>
      </c>
      <c r="I330" s="10" t="s">
        <v>54</v>
      </c>
      <c r="J330" s="81" t="s">
        <v>670</v>
      </c>
      <c r="K330" s="10" t="s">
        <v>54</v>
      </c>
      <c r="L330" s="81" t="s">
        <v>733</v>
      </c>
      <c r="M330" s="10" t="s">
        <v>54</v>
      </c>
      <c r="N330" s="81" t="s">
        <v>673</v>
      </c>
      <c r="O330" s="9" t="s">
        <v>1890</v>
      </c>
      <c r="P330" s="11">
        <v>200</v>
      </c>
      <c r="Q330" s="7"/>
      <c r="R330" s="1"/>
    </row>
    <row r="331" spans="1:18" ht="68">
      <c r="A331" s="1"/>
      <c r="B331" s="6"/>
      <c r="C331" s="11">
        <f>SUBTOTAL(103,$D$4:D331)</f>
        <v>328</v>
      </c>
      <c r="D331" s="9" t="s">
        <v>1414</v>
      </c>
      <c r="E331" s="12" t="s">
        <v>671</v>
      </c>
      <c r="F331" s="10" t="s">
        <v>22</v>
      </c>
      <c r="G331" s="10" t="s">
        <v>54</v>
      </c>
      <c r="H331" s="81" t="s">
        <v>672</v>
      </c>
      <c r="I331" s="10" t="s">
        <v>54</v>
      </c>
      <c r="J331" s="81" t="s">
        <v>673</v>
      </c>
      <c r="K331" s="12" t="s">
        <v>55</v>
      </c>
      <c r="L331" s="81" t="s">
        <v>734</v>
      </c>
      <c r="M331" s="10" t="s">
        <v>54</v>
      </c>
      <c r="N331" s="81" t="s">
        <v>689</v>
      </c>
      <c r="O331" s="9" t="s">
        <v>1891</v>
      </c>
      <c r="P331" s="11">
        <v>201</v>
      </c>
      <c r="Q331" s="7"/>
      <c r="R331" s="1"/>
    </row>
    <row r="332" spans="1:18" ht="102">
      <c r="A332" s="1"/>
      <c r="B332" s="6"/>
      <c r="C332" s="11">
        <f>SUBTOTAL(103,$D$4:D332)</f>
        <v>329</v>
      </c>
      <c r="D332" s="9" t="s">
        <v>1414</v>
      </c>
      <c r="E332" s="12" t="s">
        <v>674</v>
      </c>
      <c r="F332" s="10" t="s">
        <v>22</v>
      </c>
      <c r="G332" s="10" t="s">
        <v>54</v>
      </c>
      <c r="H332" s="81" t="s">
        <v>675</v>
      </c>
      <c r="I332" s="10" t="s">
        <v>54</v>
      </c>
      <c r="J332" s="81" t="s">
        <v>676</v>
      </c>
      <c r="K332" s="12" t="s">
        <v>55</v>
      </c>
      <c r="L332" s="81" t="s">
        <v>634</v>
      </c>
      <c r="M332" s="10" t="s">
        <v>54</v>
      </c>
      <c r="N332" s="81" t="s">
        <v>690</v>
      </c>
      <c r="O332" s="9"/>
      <c r="P332" s="11">
        <v>202</v>
      </c>
      <c r="Q332" s="7"/>
      <c r="R332" s="1"/>
    </row>
    <row r="333" spans="1:18" ht="153">
      <c r="A333" s="1"/>
      <c r="B333" s="6"/>
      <c r="C333" s="11">
        <f>SUBTOTAL(103,$D$4:D333)</f>
        <v>330</v>
      </c>
      <c r="D333" s="9" t="s">
        <v>1414</v>
      </c>
      <c r="E333" s="12" t="s">
        <v>677</v>
      </c>
      <c r="F333" s="10" t="s">
        <v>22</v>
      </c>
      <c r="G333" s="10" t="s">
        <v>54</v>
      </c>
      <c r="H333" s="81" t="s">
        <v>678</v>
      </c>
      <c r="I333" s="10" t="s">
        <v>54</v>
      </c>
      <c r="J333" s="81" t="s">
        <v>679</v>
      </c>
      <c r="K333" s="10" t="s">
        <v>54</v>
      </c>
      <c r="L333" s="81" t="s">
        <v>735</v>
      </c>
      <c r="M333" s="12" t="s">
        <v>55</v>
      </c>
      <c r="N333" s="81" t="s">
        <v>684</v>
      </c>
      <c r="O333" s="9" t="s">
        <v>1899</v>
      </c>
      <c r="P333" s="11">
        <v>203</v>
      </c>
      <c r="Q333" s="7"/>
      <c r="R333" s="1"/>
    </row>
    <row r="334" spans="1:18" ht="119">
      <c r="A334" s="1"/>
      <c r="B334" s="6"/>
      <c r="C334" s="11">
        <f>SUBTOTAL(103,$D$4:D334)</f>
        <v>331</v>
      </c>
      <c r="D334" s="9" t="s">
        <v>1414</v>
      </c>
      <c r="E334" s="12" t="s">
        <v>680</v>
      </c>
      <c r="F334" s="10" t="s">
        <v>22</v>
      </c>
      <c r="G334" s="10" t="s">
        <v>54</v>
      </c>
      <c r="H334" s="81" t="s">
        <v>681</v>
      </c>
      <c r="I334" s="12" t="s">
        <v>55</v>
      </c>
      <c r="J334" s="81" t="s">
        <v>682</v>
      </c>
      <c r="K334" s="10" t="s">
        <v>54</v>
      </c>
      <c r="L334" s="81" t="s">
        <v>736</v>
      </c>
      <c r="M334" s="10" t="s">
        <v>54</v>
      </c>
      <c r="N334" s="81" t="s">
        <v>683</v>
      </c>
      <c r="O334" s="9" t="s">
        <v>1892</v>
      </c>
      <c r="P334" s="11">
        <v>204</v>
      </c>
      <c r="Q334" s="7"/>
      <c r="R334" s="1"/>
    </row>
    <row r="335" spans="1:18" ht="170">
      <c r="A335" s="1"/>
      <c r="B335" s="6"/>
      <c r="C335" s="11">
        <f>SUBTOTAL(103,$D$4:D335)</f>
        <v>332</v>
      </c>
      <c r="D335" s="9" t="s">
        <v>1414</v>
      </c>
      <c r="E335" s="12" t="s">
        <v>830</v>
      </c>
      <c r="F335" s="10" t="s">
        <v>22</v>
      </c>
      <c r="G335" s="12" t="s">
        <v>55</v>
      </c>
      <c r="H335" s="81" t="s">
        <v>831</v>
      </c>
      <c r="I335" s="10" t="s">
        <v>54</v>
      </c>
      <c r="J335" s="81" t="s">
        <v>832</v>
      </c>
      <c r="K335" s="10" t="s">
        <v>54</v>
      </c>
      <c r="L335" s="81" t="s">
        <v>833</v>
      </c>
      <c r="M335" s="10" t="s">
        <v>54</v>
      </c>
      <c r="N335" s="81" t="s">
        <v>834</v>
      </c>
      <c r="O335" s="9" t="s">
        <v>1898</v>
      </c>
      <c r="P335" s="11">
        <v>205</v>
      </c>
      <c r="Q335" s="7"/>
      <c r="R335" s="1"/>
    </row>
    <row r="336" spans="1:18" ht="85">
      <c r="A336" s="1"/>
      <c r="B336" s="6"/>
      <c r="C336" s="11">
        <f>SUBTOTAL(103,$D$4:D336)</f>
        <v>333</v>
      </c>
      <c r="D336" s="9" t="s">
        <v>1414</v>
      </c>
      <c r="E336" s="12" t="s">
        <v>835</v>
      </c>
      <c r="F336" s="10" t="s">
        <v>22</v>
      </c>
      <c r="G336" s="10" t="s">
        <v>54</v>
      </c>
      <c r="H336" s="81" t="s">
        <v>836</v>
      </c>
      <c r="I336" s="12" t="s">
        <v>55</v>
      </c>
      <c r="J336" s="81" t="s">
        <v>837</v>
      </c>
      <c r="K336" s="10" t="s">
        <v>54</v>
      </c>
      <c r="L336" s="81" t="s">
        <v>838</v>
      </c>
      <c r="M336" s="10" t="s">
        <v>54</v>
      </c>
      <c r="N336" s="81" t="s">
        <v>621</v>
      </c>
      <c r="O336" s="9" t="s">
        <v>1881</v>
      </c>
      <c r="P336" s="11">
        <v>206</v>
      </c>
      <c r="Q336" s="7"/>
      <c r="R336" s="1"/>
    </row>
    <row r="337" spans="1:18" ht="85">
      <c r="A337" s="1"/>
      <c r="B337" s="6"/>
      <c r="C337" s="11">
        <f>SUBTOTAL(103,$D$4:D337)</f>
        <v>334</v>
      </c>
      <c r="D337" s="9" t="s">
        <v>1414</v>
      </c>
      <c r="E337" s="12" t="s">
        <v>839</v>
      </c>
      <c r="F337" s="10" t="s">
        <v>22</v>
      </c>
      <c r="G337" s="10" t="s">
        <v>54</v>
      </c>
      <c r="H337" s="81" t="s">
        <v>841</v>
      </c>
      <c r="I337" s="10" t="s">
        <v>54</v>
      </c>
      <c r="J337" s="81" t="s">
        <v>842</v>
      </c>
      <c r="K337" s="10" t="s">
        <v>54</v>
      </c>
      <c r="L337" s="81" t="s">
        <v>843</v>
      </c>
      <c r="M337" s="12" t="s">
        <v>55</v>
      </c>
      <c r="N337" s="81" t="s">
        <v>844</v>
      </c>
      <c r="O337" s="9" t="s">
        <v>1886</v>
      </c>
      <c r="P337" s="11">
        <v>207</v>
      </c>
      <c r="Q337" s="7"/>
      <c r="R337" s="1"/>
    </row>
    <row r="338" spans="1:18" ht="34">
      <c r="A338" s="1"/>
      <c r="B338" s="6"/>
      <c r="C338" s="11">
        <f>SUBTOTAL(103,$D$4:D338)</f>
        <v>335</v>
      </c>
      <c r="D338" s="9" t="s">
        <v>1414</v>
      </c>
      <c r="E338" s="12" t="s">
        <v>840</v>
      </c>
      <c r="F338" s="10" t="s">
        <v>22</v>
      </c>
      <c r="G338" s="10" t="s">
        <v>54</v>
      </c>
      <c r="H338" s="81" t="s">
        <v>530</v>
      </c>
      <c r="I338" s="12" t="s">
        <v>55</v>
      </c>
      <c r="J338" s="81" t="s">
        <v>531</v>
      </c>
      <c r="K338" s="10" t="s">
        <v>54</v>
      </c>
      <c r="L338" s="81" t="s">
        <v>532</v>
      </c>
      <c r="M338" s="10" t="s">
        <v>54</v>
      </c>
      <c r="N338" s="81" t="s">
        <v>533</v>
      </c>
      <c r="O338" s="9"/>
      <c r="P338" s="11">
        <v>208</v>
      </c>
      <c r="Q338" s="7"/>
      <c r="R338" s="1"/>
    </row>
    <row r="339" spans="1:18" ht="68">
      <c r="A339" s="1"/>
      <c r="B339" s="6"/>
      <c r="C339" s="11">
        <f>SUBTOTAL(103,$D$4:D339)</f>
        <v>336</v>
      </c>
      <c r="D339" s="9" t="s">
        <v>1414</v>
      </c>
      <c r="E339" s="12" t="s">
        <v>845</v>
      </c>
      <c r="F339" s="10" t="s">
        <v>22</v>
      </c>
      <c r="G339" s="10" t="s">
        <v>54</v>
      </c>
      <c r="H339" s="81" t="s">
        <v>846</v>
      </c>
      <c r="I339" s="12" t="s">
        <v>55</v>
      </c>
      <c r="J339" s="81" t="s">
        <v>847</v>
      </c>
      <c r="K339" s="10" t="s">
        <v>54</v>
      </c>
      <c r="L339" s="81" t="s">
        <v>670</v>
      </c>
      <c r="M339" s="10" t="s">
        <v>54</v>
      </c>
      <c r="N339" s="81" t="s">
        <v>651</v>
      </c>
      <c r="O339" s="9"/>
      <c r="P339" s="11">
        <v>209</v>
      </c>
      <c r="Q339" s="7"/>
      <c r="R339" s="1"/>
    </row>
    <row r="340" spans="1:18" ht="136">
      <c r="A340" s="1"/>
      <c r="B340" s="6"/>
      <c r="C340" s="11">
        <f>SUBTOTAL(103,$D$4:D340)</f>
        <v>337</v>
      </c>
      <c r="D340" s="9" t="s">
        <v>1414</v>
      </c>
      <c r="E340" s="12" t="s">
        <v>848</v>
      </c>
      <c r="F340" s="10" t="s">
        <v>22</v>
      </c>
      <c r="G340" s="10" t="s">
        <v>54</v>
      </c>
      <c r="H340" s="81" t="s">
        <v>849</v>
      </c>
      <c r="I340" s="10" t="s">
        <v>54</v>
      </c>
      <c r="J340" s="81" t="s">
        <v>850</v>
      </c>
      <c r="K340" s="12" t="s">
        <v>55</v>
      </c>
      <c r="L340" s="81" t="s">
        <v>851</v>
      </c>
      <c r="M340" s="10" t="s">
        <v>54</v>
      </c>
      <c r="N340" s="81" t="s">
        <v>852</v>
      </c>
      <c r="O340" s="9" t="s">
        <v>1299</v>
      </c>
      <c r="P340" s="11">
        <v>210</v>
      </c>
      <c r="Q340" s="7"/>
      <c r="R340" s="1"/>
    </row>
    <row r="341" spans="1:18" ht="153">
      <c r="A341" s="1"/>
      <c r="B341" s="6"/>
      <c r="C341" s="11">
        <f>SUBTOTAL(103,$D$4:D341)</f>
        <v>338</v>
      </c>
      <c r="D341" s="9" t="s">
        <v>1414</v>
      </c>
      <c r="E341" s="12" t="s">
        <v>853</v>
      </c>
      <c r="F341" s="10" t="s">
        <v>22</v>
      </c>
      <c r="G341" s="10" t="s">
        <v>54</v>
      </c>
      <c r="H341" s="81" t="s">
        <v>855</v>
      </c>
      <c r="I341" s="10" t="s">
        <v>54</v>
      </c>
      <c r="J341" s="81" t="s">
        <v>856</v>
      </c>
      <c r="K341" s="12" t="s">
        <v>55</v>
      </c>
      <c r="L341" s="81" t="s">
        <v>857</v>
      </c>
      <c r="M341" s="10" t="s">
        <v>54</v>
      </c>
      <c r="N341" s="81" t="s">
        <v>858</v>
      </c>
      <c r="O341" s="9" t="s">
        <v>2399</v>
      </c>
      <c r="P341" s="11">
        <v>211</v>
      </c>
      <c r="Q341" s="7"/>
      <c r="R341" s="1"/>
    </row>
    <row r="342" spans="1:18" ht="136">
      <c r="A342" s="1"/>
      <c r="B342" s="6"/>
      <c r="C342" s="11">
        <f>SUBTOTAL(103,$D$4:D342)</f>
        <v>339</v>
      </c>
      <c r="D342" s="9" t="s">
        <v>1414</v>
      </c>
      <c r="E342" s="12" t="s">
        <v>854</v>
      </c>
      <c r="F342" s="10" t="s">
        <v>22</v>
      </c>
      <c r="G342" s="10" t="s">
        <v>54</v>
      </c>
      <c r="H342" s="81" t="s">
        <v>859</v>
      </c>
      <c r="I342" s="10" t="s">
        <v>54</v>
      </c>
      <c r="J342" s="81" t="s">
        <v>860</v>
      </c>
      <c r="K342" s="10" t="s">
        <v>54</v>
      </c>
      <c r="L342" s="81" t="s">
        <v>861</v>
      </c>
      <c r="M342" s="12" t="s">
        <v>55</v>
      </c>
      <c r="N342" s="81" t="s">
        <v>862</v>
      </c>
      <c r="O342" s="9" t="s">
        <v>1420</v>
      </c>
      <c r="P342" s="11">
        <v>212</v>
      </c>
      <c r="Q342" s="7"/>
      <c r="R342" s="1"/>
    </row>
    <row r="343" spans="1:18" ht="102">
      <c r="A343" s="1"/>
      <c r="B343" s="6"/>
      <c r="C343" s="11">
        <f>SUBTOTAL(103,$D$4:D343)</f>
        <v>340</v>
      </c>
      <c r="D343" s="9" t="s">
        <v>1414</v>
      </c>
      <c r="E343" s="12" t="s">
        <v>863</v>
      </c>
      <c r="F343" s="10" t="s">
        <v>22</v>
      </c>
      <c r="G343" s="10" t="s">
        <v>54</v>
      </c>
      <c r="H343" s="81" t="s">
        <v>864</v>
      </c>
      <c r="I343" s="12" t="s">
        <v>55</v>
      </c>
      <c r="J343" s="81" t="s">
        <v>865</v>
      </c>
      <c r="K343" s="10" t="s">
        <v>54</v>
      </c>
      <c r="L343" s="81" t="s">
        <v>866</v>
      </c>
      <c r="M343" s="10" t="s">
        <v>54</v>
      </c>
      <c r="N343" s="81" t="s">
        <v>867</v>
      </c>
      <c r="O343" s="9" t="s">
        <v>1916</v>
      </c>
      <c r="P343" s="11">
        <v>213</v>
      </c>
      <c r="Q343" s="7"/>
      <c r="R343" s="1"/>
    </row>
    <row r="344" spans="1:18" ht="34">
      <c r="A344" s="1"/>
      <c r="B344" s="6"/>
      <c r="C344" s="11">
        <f>SUBTOTAL(103,$D$4:D344)</f>
        <v>341</v>
      </c>
      <c r="D344" s="9" t="s">
        <v>1414</v>
      </c>
      <c r="E344" s="12" t="s">
        <v>1905</v>
      </c>
      <c r="F344" s="10" t="s">
        <v>12</v>
      </c>
      <c r="G344" s="12" t="s">
        <v>55</v>
      </c>
      <c r="H344" s="81" t="s">
        <v>614</v>
      </c>
      <c r="I344" s="12" t="s">
        <v>55</v>
      </c>
      <c r="J344" s="81" t="s">
        <v>1906</v>
      </c>
      <c r="K344" s="12" t="s">
        <v>55</v>
      </c>
      <c r="L344" s="81" t="s">
        <v>1907</v>
      </c>
      <c r="M344" s="10" t="s">
        <v>54</v>
      </c>
      <c r="N344" s="81" t="s">
        <v>1908</v>
      </c>
      <c r="O344" s="9"/>
      <c r="P344" s="11"/>
      <c r="Q344" s="7"/>
      <c r="R344" s="1"/>
    </row>
    <row r="345" spans="1:18" ht="68">
      <c r="A345" s="1"/>
      <c r="B345" s="6"/>
      <c r="C345" s="11">
        <f>SUBTOTAL(103,$D$4:D345)</f>
        <v>342</v>
      </c>
      <c r="D345" s="9" t="s">
        <v>1414</v>
      </c>
      <c r="E345" s="12" t="s">
        <v>477</v>
      </c>
      <c r="F345" s="10" t="s">
        <v>8</v>
      </c>
      <c r="G345" s="10" t="s">
        <v>54</v>
      </c>
      <c r="H345" s="80" t="s">
        <v>10</v>
      </c>
      <c r="I345" s="12" t="s">
        <v>55</v>
      </c>
      <c r="J345" s="12" t="s">
        <v>9</v>
      </c>
      <c r="K345" s="10" t="s">
        <v>54</v>
      </c>
      <c r="L345" s="81" t="s">
        <v>177</v>
      </c>
      <c r="M345" s="10" t="s">
        <v>54</v>
      </c>
      <c r="N345" s="81" t="s">
        <v>177</v>
      </c>
      <c r="O345" s="9" t="s">
        <v>478</v>
      </c>
      <c r="P345" s="9"/>
      <c r="Q345" s="7"/>
      <c r="R345" s="1"/>
    </row>
    <row r="346" spans="1:18" ht="34">
      <c r="A346" s="1"/>
      <c r="B346" s="6"/>
      <c r="C346" s="11">
        <f>SUBTOTAL(103,$D$4:D346)</f>
        <v>343</v>
      </c>
      <c r="D346" s="9" t="s">
        <v>1414</v>
      </c>
      <c r="E346" s="12" t="s">
        <v>479</v>
      </c>
      <c r="F346" s="10" t="s">
        <v>22</v>
      </c>
      <c r="G346" s="10" t="s">
        <v>54</v>
      </c>
      <c r="H346" s="80" t="s">
        <v>482</v>
      </c>
      <c r="I346" s="9" t="s">
        <v>54</v>
      </c>
      <c r="J346" s="80" t="s">
        <v>481</v>
      </c>
      <c r="K346" s="12" t="s">
        <v>55</v>
      </c>
      <c r="L346" s="80" t="s">
        <v>480</v>
      </c>
      <c r="M346" s="10" t="s">
        <v>54</v>
      </c>
      <c r="N346" s="80" t="s">
        <v>829</v>
      </c>
      <c r="O346" s="9" t="s">
        <v>483</v>
      </c>
      <c r="P346" s="9"/>
      <c r="Q346" s="7"/>
      <c r="R346" s="1"/>
    </row>
    <row r="347" spans="1:18" ht="85">
      <c r="A347" s="1"/>
      <c r="B347" s="6"/>
      <c r="C347" s="11">
        <f>SUBTOTAL(103,$D$4:D347)</f>
        <v>344</v>
      </c>
      <c r="D347" s="9" t="s">
        <v>1414</v>
      </c>
      <c r="E347" s="12" t="s">
        <v>484</v>
      </c>
      <c r="F347" s="10" t="s">
        <v>22</v>
      </c>
      <c r="G347" s="9" t="s">
        <v>54</v>
      </c>
      <c r="H347" s="80" t="s">
        <v>485</v>
      </c>
      <c r="I347" s="12" t="s">
        <v>55</v>
      </c>
      <c r="J347" s="12" t="s">
        <v>486</v>
      </c>
      <c r="K347" s="9" t="s">
        <v>54</v>
      </c>
      <c r="L347" s="12" t="s">
        <v>487</v>
      </c>
      <c r="M347" s="9" t="s">
        <v>54</v>
      </c>
      <c r="N347" s="80" t="s">
        <v>488</v>
      </c>
      <c r="O347" s="9" t="s">
        <v>489</v>
      </c>
      <c r="P347" s="9"/>
      <c r="Q347" s="7"/>
      <c r="R347" s="1"/>
    </row>
    <row r="348" spans="1:18" ht="51">
      <c r="A348" s="1"/>
      <c r="B348" s="6"/>
      <c r="C348" s="11">
        <f>SUBTOTAL(103,$D$4:D348)</f>
        <v>345</v>
      </c>
      <c r="D348" s="9" t="s">
        <v>1414</v>
      </c>
      <c r="E348" s="12" t="s">
        <v>490</v>
      </c>
      <c r="F348" s="10" t="s">
        <v>22</v>
      </c>
      <c r="G348" s="9" t="s">
        <v>54</v>
      </c>
      <c r="H348" s="80" t="s">
        <v>491</v>
      </c>
      <c r="I348" s="12" t="s">
        <v>55</v>
      </c>
      <c r="J348" s="12" t="s">
        <v>493</v>
      </c>
      <c r="K348" s="9" t="s">
        <v>54</v>
      </c>
      <c r="L348" s="12" t="s">
        <v>492</v>
      </c>
      <c r="M348" s="9" t="s">
        <v>54</v>
      </c>
      <c r="N348" s="80" t="s">
        <v>494</v>
      </c>
      <c r="O348" s="9" t="s">
        <v>495</v>
      </c>
      <c r="P348" s="9"/>
      <c r="Q348" s="7"/>
      <c r="R348" s="1"/>
    </row>
    <row r="349" spans="1:18" ht="85">
      <c r="A349" s="1"/>
      <c r="B349" s="6"/>
      <c r="C349" s="11">
        <f>SUBTOTAL(103,$D$4:D349)</f>
        <v>346</v>
      </c>
      <c r="D349" s="9" t="s">
        <v>1414</v>
      </c>
      <c r="E349" s="12" t="s">
        <v>496</v>
      </c>
      <c r="F349" s="10" t="s">
        <v>12</v>
      </c>
      <c r="G349" s="12" t="s">
        <v>55</v>
      </c>
      <c r="H349" s="80" t="s">
        <v>497</v>
      </c>
      <c r="I349" s="12" t="s">
        <v>55</v>
      </c>
      <c r="J349" s="12" t="s">
        <v>498</v>
      </c>
      <c r="K349" s="12" t="s">
        <v>55</v>
      </c>
      <c r="L349" s="12" t="s">
        <v>499</v>
      </c>
      <c r="M349" s="9" t="s">
        <v>54</v>
      </c>
      <c r="N349" s="80" t="s">
        <v>500</v>
      </c>
      <c r="O349" s="9" t="s">
        <v>501</v>
      </c>
      <c r="P349" s="9"/>
      <c r="Q349" s="7"/>
      <c r="R349" s="1"/>
    </row>
    <row r="350" spans="1:18" ht="51">
      <c r="A350" s="1"/>
      <c r="B350" s="6"/>
      <c r="C350" s="11">
        <f>SUBTOTAL(103,$D$4:D350)</f>
        <v>347</v>
      </c>
      <c r="D350" s="9" t="s">
        <v>1414</v>
      </c>
      <c r="E350" s="12" t="s">
        <v>502</v>
      </c>
      <c r="F350" s="10" t="s">
        <v>22</v>
      </c>
      <c r="G350" s="9" t="s">
        <v>54</v>
      </c>
      <c r="H350" s="80" t="s">
        <v>437</v>
      </c>
      <c r="I350" s="9" t="s">
        <v>54</v>
      </c>
      <c r="J350" s="12" t="s">
        <v>503</v>
      </c>
      <c r="K350" s="9" t="s">
        <v>54</v>
      </c>
      <c r="L350" s="12" t="s">
        <v>504</v>
      </c>
      <c r="M350" s="12" t="s">
        <v>55</v>
      </c>
      <c r="N350" s="81">
        <v>0</v>
      </c>
      <c r="O350" s="9" t="s">
        <v>505</v>
      </c>
      <c r="P350" s="9"/>
      <c r="Q350" s="7"/>
      <c r="R350" s="1"/>
    </row>
    <row r="351" spans="1:18" ht="51">
      <c r="A351" s="1"/>
      <c r="B351" s="6"/>
      <c r="C351" s="11">
        <f>SUBTOTAL(103,$D$4:D351)</f>
        <v>348</v>
      </c>
      <c r="D351" s="9" t="s">
        <v>1414</v>
      </c>
      <c r="E351" s="12" t="s">
        <v>506</v>
      </c>
      <c r="F351" s="10" t="s">
        <v>8</v>
      </c>
      <c r="G351" s="12" t="s">
        <v>55</v>
      </c>
      <c r="H351" s="80" t="s">
        <v>10</v>
      </c>
      <c r="I351" s="9" t="s">
        <v>54</v>
      </c>
      <c r="J351" s="12" t="s">
        <v>9</v>
      </c>
      <c r="K351" s="10" t="s">
        <v>54</v>
      </c>
      <c r="L351" s="81" t="s">
        <v>177</v>
      </c>
      <c r="M351" s="10" t="s">
        <v>54</v>
      </c>
      <c r="N351" s="81" t="s">
        <v>177</v>
      </c>
      <c r="O351" s="9" t="s">
        <v>507</v>
      </c>
      <c r="P351" s="9"/>
      <c r="Q351" s="7"/>
      <c r="R351" s="1"/>
    </row>
    <row r="352" spans="1:18" ht="51">
      <c r="A352" s="1"/>
      <c r="B352" s="6"/>
      <c r="C352" s="11">
        <f>SUBTOTAL(103,$D$4:D352)</f>
        <v>349</v>
      </c>
      <c r="D352" s="9" t="s">
        <v>1414</v>
      </c>
      <c r="E352" s="12" t="s">
        <v>508</v>
      </c>
      <c r="F352" s="10" t="s">
        <v>8</v>
      </c>
      <c r="G352" s="12" t="s">
        <v>55</v>
      </c>
      <c r="H352" s="80" t="s">
        <v>10</v>
      </c>
      <c r="I352" s="9" t="s">
        <v>54</v>
      </c>
      <c r="J352" s="12" t="s">
        <v>9</v>
      </c>
      <c r="K352" s="10" t="s">
        <v>54</v>
      </c>
      <c r="L352" s="81" t="s">
        <v>177</v>
      </c>
      <c r="M352" s="10" t="s">
        <v>54</v>
      </c>
      <c r="N352" s="81" t="s">
        <v>177</v>
      </c>
      <c r="O352" s="9" t="s">
        <v>509</v>
      </c>
      <c r="P352" s="9"/>
      <c r="Q352" s="7"/>
      <c r="R352" s="1"/>
    </row>
    <row r="353" spans="1:18" ht="85">
      <c r="A353" s="1"/>
      <c r="B353" s="6"/>
      <c r="C353" s="11">
        <f>SUBTOTAL(103,$D$4:D353)</f>
        <v>350</v>
      </c>
      <c r="D353" s="9" t="s">
        <v>1414</v>
      </c>
      <c r="E353" s="12" t="s">
        <v>510</v>
      </c>
      <c r="F353" s="10" t="s">
        <v>22</v>
      </c>
      <c r="G353" s="12" t="s">
        <v>55</v>
      </c>
      <c r="H353" s="80" t="s">
        <v>513</v>
      </c>
      <c r="I353" s="10" t="s">
        <v>54</v>
      </c>
      <c r="J353" s="80" t="s">
        <v>514</v>
      </c>
      <c r="K353" s="10" t="s">
        <v>54</v>
      </c>
      <c r="L353" s="81" t="s">
        <v>512</v>
      </c>
      <c r="M353" s="10" t="s">
        <v>54</v>
      </c>
      <c r="N353" s="81" t="s">
        <v>515</v>
      </c>
      <c r="O353" s="9" t="s">
        <v>511</v>
      </c>
      <c r="P353" s="9"/>
      <c r="Q353" s="7"/>
      <c r="R353" s="1"/>
    </row>
    <row r="354" spans="1:18" ht="34">
      <c r="A354" s="1"/>
      <c r="B354" s="6"/>
      <c r="C354" s="11">
        <f>SUBTOTAL(103,$D$4:D354)</f>
        <v>351</v>
      </c>
      <c r="D354" s="9" t="s">
        <v>1414</v>
      </c>
      <c r="E354" s="12" t="s">
        <v>516</v>
      </c>
      <c r="F354" s="10" t="s">
        <v>22</v>
      </c>
      <c r="G354" s="12" t="s">
        <v>55</v>
      </c>
      <c r="H354" s="80" t="s">
        <v>517</v>
      </c>
      <c r="I354" s="10" t="s">
        <v>54</v>
      </c>
      <c r="J354" s="12" t="s">
        <v>518</v>
      </c>
      <c r="K354" s="10" t="s">
        <v>54</v>
      </c>
      <c r="L354" s="12" t="s">
        <v>519</v>
      </c>
      <c r="M354" s="10" t="s">
        <v>54</v>
      </c>
      <c r="N354" s="80" t="s">
        <v>520</v>
      </c>
      <c r="O354" s="9" t="s">
        <v>521</v>
      </c>
      <c r="P354" s="9"/>
      <c r="Q354" s="7"/>
      <c r="R354" s="1"/>
    </row>
    <row r="355" spans="1:18" ht="34">
      <c r="A355" s="1"/>
      <c r="B355" s="6"/>
      <c r="C355" s="11">
        <f>SUBTOTAL(103,$D$4:D355)</f>
        <v>352</v>
      </c>
      <c r="D355" s="9" t="s">
        <v>1414</v>
      </c>
      <c r="E355" s="12" t="s">
        <v>522</v>
      </c>
      <c r="F355" s="10" t="s">
        <v>8</v>
      </c>
      <c r="G355" s="10" t="s">
        <v>54</v>
      </c>
      <c r="H355" s="80" t="s">
        <v>10</v>
      </c>
      <c r="I355" s="12" t="s">
        <v>55</v>
      </c>
      <c r="J355" s="12" t="s">
        <v>9</v>
      </c>
      <c r="K355" s="10" t="s">
        <v>54</v>
      </c>
      <c r="L355" s="81" t="s">
        <v>177</v>
      </c>
      <c r="M355" s="10" t="s">
        <v>54</v>
      </c>
      <c r="N355" s="81" t="s">
        <v>177</v>
      </c>
      <c r="O355" s="9" t="s">
        <v>523</v>
      </c>
      <c r="P355" s="9"/>
      <c r="Q355" s="7"/>
      <c r="R355" s="1"/>
    </row>
    <row r="356" spans="1:18" ht="136">
      <c r="A356" s="1"/>
      <c r="B356" s="6"/>
      <c r="C356" s="11">
        <f>SUBTOTAL(103,$D$4:D356)</f>
        <v>353</v>
      </c>
      <c r="D356" s="9" t="s">
        <v>1414</v>
      </c>
      <c r="E356" s="12" t="s">
        <v>524</v>
      </c>
      <c r="F356" s="10" t="s">
        <v>22</v>
      </c>
      <c r="G356" s="10" t="s">
        <v>54</v>
      </c>
      <c r="H356" s="13" t="s">
        <v>529</v>
      </c>
      <c r="I356" s="10" t="s">
        <v>54</v>
      </c>
      <c r="J356" s="13" t="s">
        <v>528</v>
      </c>
      <c r="K356" s="10" t="s">
        <v>54</v>
      </c>
      <c r="L356" s="81" t="s">
        <v>525</v>
      </c>
      <c r="M356" s="12" t="s">
        <v>55</v>
      </c>
      <c r="N356" s="81" t="s">
        <v>527</v>
      </c>
      <c r="O356" s="10" t="s">
        <v>526</v>
      </c>
      <c r="P356" s="9"/>
      <c r="Q356" s="7"/>
      <c r="R356" s="1"/>
    </row>
    <row r="357" spans="1:18" ht="34">
      <c r="A357" s="1"/>
      <c r="B357" s="6"/>
      <c r="C357" s="11">
        <f>SUBTOTAL(103,$D$4:D357)</f>
        <v>354</v>
      </c>
      <c r="D357" s="9" t="s">
        <v>1414</v>
      </c>
      <c r="E357" s="12" t="s">
        <v>534</v>
      </c>
      <c r="F357" s="10" t="s">
        <v>22</v>
      </c>
      <c r="G357" s="10" t="s">
        <v>54</v>
      </c>
      <c r="H357" s="80" t="s">
        <v>530</v>
      </c>
      <c r="I357" s="10" t="s">
        <v>54</v>
      </c>
      <c r="J357" s="12" t="s">
        <v>531</v>
      </c>
      <c r="K357" s="12" t="s">
        <v>55</v>
      </c>
      <c r="L357" s="12" t="s">
        <v>533</v>
      </c>
      <c r="M357" s="10" t="s">
        <v>54</v>
      </c>
      <c r="N357" s="80" t="s">
        <v>532</v>
      </c>
      <c r="O357" s="9"/>
      <c r="P357" s="9"/>
      <c r="Q357" s="7"/>
      <c r="R357" s="1"/>
    </row>
    <row r="358" spans="1:18" ht="17">
      <c r="A358" s="1"/>
      <c r="B358" s="6"/>
      <c r="C358" s="11">
        <f>SUBTOTAL(103,$D$4:D358)</f>
        <v>355</v>
      </c>
      <c r="D358" s="9" t="s">
        <v>1414</v>
      </c>
      <c r="E358" s="12" t="s">
        <v>535</v>
      </c>
      <c r="F358" s="10" t="s">
        <v>12</v>
      </c>
      <c r="G358" s="10" t="s">
        <v>54</v>
      </c>
      <c r="H358" s="80" t="s">
        <v>536</v>
      </c>
      <c r="I358" s="10" t="s">
        <v>54</v>
      </c>
      <c r="J358" s="12" t="s">
        <v>537</v>
      </c>
      <c r="K358" s="12" t="s">
        <v>55</v>
      </c>
      <c r="L358" s="12" t="s">
        <v>538</v>
      </c>
      <c r="M358" s="10" t="s">
        <v>54</v>
      </c>
      <c r="N358" s="80" t="s">
        <v>539</v>
      </c>
      <c r="O358" s="9" t="s">
        <v>1855</v>
      </c>
      <c r="P358" s="9"/>
      <c r="Q358" s="7"/>
      <c r="R358" s="1"/>
    </row>
    <row r="359" spans="1:18" ht="119">
      <c r="A359" s="1"/>
      <c r="B359" s="6"/>
      <c r="C359" s="11">
        <f>SUBTOTAL(103,$D$4:D359)</f>
        <v>356</v>
      </c>
      <c r="D359" s="9" t="s">
        <v>1414</v>
      </c>
      <c r="E359" s="12" t="s">
        <v>1346</v>
      </c>
      <c r="F359" s="10" t="s">
        <v>22</v>
      </c>
      <c r="G359" s="12" t="s">
        <v>55</v>
      </c>
      <c r="H359" s="12" t="s">
        <v>1347</v>
      </c>
      <c r="I359" s="9" t="s">
        <v>54</v>
      </c>
      <c r="J359" s="12" t="s">
        <v>1349</v>
      </c>
      <c r="K359" s="10" t="s">
        <v>54</v>
      </c>
      <c r="L359" s="12" t="s">
        <v>1348</v>
      </c>
      <c r="M359" s="10" t="s">
        <v>54</v>
      </c>
      <c r="N359" s="80" t="s">
        <v>1350</v>
      </c>
      <c r="O359" s="9" t="s">
        <v>1351</v>
      </c>
      <c r="P359" s="9"/>
      <c r="Q359" s="7"/>
      <c r="R359" s="1"/>
    </row>
    <row r="360" spans="1:18" ht="51">
      <c r="A360" s="1"/>
      <c r="B360" s="6"/>
      <c r="C360" s="11">
        <f>SUBTOTAL(103,$D$4:D360)</f>
        <v>357</v>
      </c>
      <c r="D360" s="9" t="s">
        <v>1414</v>
      </c>
      <c r="E360" s="12" t="s">
        <v>1352</v>
      </c>
      <c r="F360" s="10" t="s">
        <v>8</v>
      </c>
      <c r="G360" s="12" t="s">
        <v>55</v>
      </c>
      <c r="H360" s="80" t="s">
        <v>10</v>
      </c>
      <c r="I360" s="9" t="s">
        <v>54</v>
      </c>
      <c r="J360" s="12" t="s">
        <v>9</v>
      </c>
      <c r="K360" s="10" t="s">
        <v>54</v>
      </c>
      <c r="L360" s="81" t="s">
        <v>177</v>
      </c>
      <c r="M360" s="10" t="s">
        <v>54</v>
      </c>
      <c r="N360" s="81" t="s">
        <v>177</v>
      </c>
      <c r="O360" s="9" t="s">
        <v>1353</v>
      </c>
      <c r="P360" s="9"/>
      <c r="Q360" s="7"/>
      <c r="R360" s="1"/>
    </row>
    <row r="361" spans="1:18" ht="119">
      <c r="A361" s="1"/>
      <c r="B361" s="6"/>
      <c r="C361" s="11">
        <f>SUBTOTAL(103,$D$4:D361)</f>
        <v>358</v>
      </c>
      <c r="D361" s="9" t="s">
        <v>1414</v>
      </c>
      <c r="E361" s="12" t="s">
        <v>1354</v>
      </c>
      <c r="F361" s="10" t="s">
        <v>22</v>
      </c>
      <c r="G361" s="9" t="s">
        <v>54</v>
      </c>
      <c r="H361" s="12" t="s">
        <v>1356</v>
      </c>
      <c r="I361" s="12" t="s">
        <v>55</v>
      </c>
      <c r="J361" s="12" t="s">
        <v>1355</v>
      </c>
      <c r="K361" s="10" t="s">
        <v>54</v>
      </c>
      <c r="L361" s="12" t="s">
        <v>1357</v>
      </c>
      <c r="M361" s="10" t="s">
        <v>54</v>
      </c>
      <c r="N361" s="80" t="s">
        <v>1358</v>
      </c>
      <c r="O361" s="9" t="s">
        <v>1359</v>
      </c>
      <c r="P361" s="9"/>
      <c r="Q361" s="7"/>
      <c r="R361" s="1"/>
    </row>
    <row r="362" spans="1:18" ht="68">
      <c r="A362" s="1"/>
      <c r="B362" s="6"/>
      <c r="C362" s="11">
        <f>SUBTOTAL(103,$D$4:D362)</f>
        <v>359</v>
      </c>
      <c r="D362" s="9" t="s">
        <v>1414</v>
      </c>
      <c r="E362" s="12" t="s">
        <v>1360</v>
      </c>
      <c r="F362" s="10" t="s">
        <v>22</v>
      </c>
      <c r="G362" s="9" t="s">
        <v>54</v>
      </c>
      <c r="H362" s="12" t="s">
        <v>1361</v>
      </c>
      <c r="I362" s="9" t="s">
        <v>54</v>
      </c>
      <c r="J362" s="12" t="s">
        <v>1362</v>
      </c>
      <c r="K362" s="10" t="s">
        <v>54</v>
      </c>
      <c r="L362" s="12" t="s">
        <v>1363</v>
      </c>
      <c r="M362" s="12" t="s">
        <v>55</v>
      </c>
      <c r="N362" s="80" t="s">
        <v>1364</v>
      </c>
      <c r="O362" s="9" t="s">
        <v>1365</v>
      </c>
      <c r="P362" s="9"/>
      <c r="Q362" s="7"/>
      <c r="R362" s="1"/>
    </row>
    <row r="363" spans="1:18" ht="51">
      <c r="A363" s="1"/>
      <c r="B363" s="6"/>
      <c r="C363" s="11">
        <f>SUBTOTAL(103,$D$4:D363)</f>
        <v>360</v>
      </c>
      <c r="D363" s="9" t="s">
        <v>1414</v>
      </c>
      <c r="E363" s="12" t="s">
        <v>1366</v>
      </c>
      <c r="F363" s="10" t="s">
        <v>22</v>
      </c>
      <c r="G363" s="9" t="s">
        <v>54</v>
      </c>
      <c r="H363" s="12" t="s">
        <v>1367</v>
      </c>
      <c r="I363" s="12" t="s">
        <v>55</v>
      </c>
      <c r="J363" s="12" t="s">
        <v>1368</v>
      </c>
      <c r="K363" s="10" t="s">
        <v>54</v>
      </c>
      <c r="L363" s="12" t="s">
        <v>1369</v>
      </c>
      <c r="M363" s="10" t="s">
        <v>54</v>
      </c>
      <c r="N363" s="80" t="s">
        <v>1370</v>
      </c>
      <c r="O363" s="9" t="s">
        <v>1371</v>
      </c>
      <c r="P363" s="9"/>
      <c r="Q363" s="7"/>
      <c r="R363" s="1"/>
    </row>
    <row r="364" spans="1:18" ht="85">
      <c r="A364" s="1"/>
      <c r="B364" s="6"/>
      <c r="C364" s="11">
        <f>SUBTOTAL(103,$D$4:D364)</f>
        <v>361</v>
      </c>
      <c r="D364" s="9" t="s">
        <v>1414</v>
      </c>
      <c r="E364" s="12" t="s">
        <v>1372</v>
      </c>
      <c r="F364" s="10" t="s">
        <v>22</v>
      </c>
      <c r="G364" s="12" t="s">
        <v>55</v>
      </c>
      <c r="H364" s="12" t="s">
        <v>1373</v>
      </c>
      <c r="I364" s="9" t="s">
        <v>54</v>
      </c>
      <c r="J364" s="12" t="s">
        <v>1374</v>
      </c>
      <c r="K364" s="10" t="s">
        <v>54</v>
      </c>
      <c r="L364" s="12" t="s">
        <v>1375</v>
      </c>
      <c r="M364" s="10" t="s">
        <v>54</v>
      </c>
      <c r="N364" s="80" t="s">
        <v>1376</v>
      </c>
      <c r="O364" s="9" t="s">
        <v>1854</v>
      </c>
      <c r="P364" s="9"/>
      <c r="Q364" s="7"/>
      <c r="R364" s="1"/>
    </row>
    <row r="365" spans="1:18" ht="34">
      <c r="A365" s="1"/>
      <c r="B365" s="6"/>
      <c r="C365" s="11">
        <f>SUBTOTAL(103,$D$4:D365)</f>
        <v>362</v>
      </c>
      <c r="D365" s="9" t="s">
        <v>1414</v>
      </c>
      <c r="E365" s="12" t="s">
        <v>1377</v>
      </c>
      <c r="F365" s="10" t="s">
        <v>22</v>
      </c>
      <c r="G365" s="9" t="s">
        <v>54</v>
      </c>
      <c r="H365" s="12" t="s">
        <v>1382</v>
      </c>
      <c r="I365" s="9" t="s">
        <v>54</v>
      </c>
      <c r="J365" s="12" t="s">
        <v>1381</v>
      </c>
      <c r="K365" s="10" t="s">
        <v>54</v>
      </c>
      <c r="L365" s="12" t="s">
        <v>1380</v>
      </c>
      <c r="M365" s="12" t="s">
        <v>55</v>
      </c>
      <c r="N365" s="12" t="s">
        <v>1379</v>
      </c>
      <c r="O365" s="9" t="s">
        <v>1378</v>
      </c>
      <c r="P365" s="9"/>
      <c r="Q365" s="7"/>
      <c r="R365" s="1"/>
    </row>
    <row r="366" spans="1:18" ht="34">
      <c r="A366" s="1"/>
      <c r="B366" s="6"/>
      <c r="C366" s="11">
        <f>SUBTOTAL(103,$D$4:D366)</f>
        <v>363</v>
      </c>
      <c r="D366" s="9" t="s">
        <v>1414</v>
      </c>
      <c r="E366" s="12" t="s">
        <v>1383</v>
      </c>
      <c r="F366" s="10" t="s">
        <v>8</v>
      </c>
      <c r="G366" s="12" t="s">
        <v>55</v>
      </c>
      <c r="H366" s="80" t="s">
        <v>10</v>
      </c>
      <c r="I366" s="9" t="s">
        <v>54</v>
      </c>
      <c r="J366" s="12" t="s">
        <v>9</v>
      </c>
      <c r="K366" s="10" t="s">
        <v>54</v>
      </c>
      <c r="L366" s="81" t="s">
        <v>177</v>
      </c>
      <c r="M366" s="10" t="s">
        <v>54</v>
      </c>
      <c r="N366" s="81" t="s">
        <v>177</v>
      </c>
      <c r="O366" s="9" t="s">
        <v>1384</v>
      </c>
      <c r="P366" s="9"/>
      <c r="Q366" s="7"/>
      <c r="R366" s="1"/>
    </row>
    <row r="367" spans="1:18" ht="102">
      <c r="A367" s="1"/>
      <c r="B367" s="6"/>
      <c r="C367" s="11">
        <f>SUBTOTAL(103,$D$4:D367)</f>
        <v>364</v>
      </c>
      <c r="D367" s="9" t="s">
        <v>1414</v>
      </c>
      <c r="E367" s="12" t="s">
        <v>1385</v>
      </c>
      <c r="F367" s="10" t="s">
        <v>22</v>
      </c>
      <c r="G367" s="12" t="s">
        <v>55</v>
      </c>
      <c r="H367" s="12" t="s">
        <v>1389</v>
      </c>
      <c r="I367" s="9" t="s">
        <v>54</v>
      </c>
      <c r="J367" s="12" t="s">
        <v>1386</v>
      </c>
      <c r="K367" s="10" t="s">
        <v>54</v>
      </c>
      <c r="L367" s="12" t="s">
        <v>1387</v>
      </c>
      <c r="M367" s="10" t="s">
        <v>54</v>
      </c>
      <c r="N367" s="12" t="s">
        <v>1388</v>
      </c>
      <c r="O367" s="9" t="s">
        <v>1390</v>
      </c>
      <c r="P367" s="9"/>
      <c r="Q367" s="7"/>
      <c r="R367" s="1"/>
    </row>
    <row r="368" spans="1:18" ht="68">
      <c r="A368" s="1"/>
      <c r="B368" s="6"/>
      <c r="C368" s="11">
        <f>SUBTOTAL(103,$D$4:D368)</f>
        <v>365</v>
      </c>
      <c r="D368" s="9" t="s">
        <v>1414</v>
      </c>
      <c r="E368" s="12" t="s">
        <v>1395</v>
      </c>
      <c r="F368" s="10" t="s">
        <v>22</v>
      </c>
      <c r="G368" s="9" t="s">
        <v>54</v>
      </c>
      <c r="H368" s="12" t="s">
        <v>1391</v>
      </c>
      <c r="I368" s="9" t="s">
        <v>54</v>
      </c>
      <c r="J368" s="12" t="s">
        <v>1392</v>
      </c>
      <c r="K368" s="12" t="s">
        <v>55</v>
      </c>
      <c r="L368" s="12" t="s">
        <v>1393</v>
      </c>
      <c r="M368" s="10" t="s">
        <v>54</v>
      </c>
      <c r="N368" s="12" t="s">
        <v>1394</v>
      </c>
      <c r="O368" s="9" t="s">
        <v>1396</v>
      </c>
      <c r="P368" s="9"/>
      <c r="Q368" s="7"/>
      <c r="R368" s="1"/>
    </row>
    <row r="369" spans="1:18" ht="68">
      <c r="A369" s="1"/>
      <c r="B369" s="6"/>
      <c r="C369" s="11">
        <f>SUBTOTAL(103,$D$4:D369)</f>
        <v>366</v>
      </c>
      <c r="D369" s="9" t="s">
        <v>1414</v>
      </c>
      <c r="E369" s="12" t="s">
        <v>1397</v>
      </c>
      <c r="F369" s="10" t="s">
        <v>8</v>
      </c>
      <c r="G369" s="12" t="s">
        <v>55</v>
      </c>
      <c r="H369" s="80" t="s">
        <v>10</v>
      </c>
      <c r="I369" s="9" t="s">
        <v>54</v>
      </c>
      <c r="J369" s="12" t="s">
        <v>9</v>
      </c>
      <c r="K369" s="10" t="s">
        <v>54</v>
      </c>
      <c r="L369" s="81" t="s">
        <v>177</v>
      </c>
      <c r="M369" s="10" t="s">
        <v>54</v>
      </c>
      <c r="N369" s="81" t="s">
        <v>177</v>
      </c>
      <c r="O369" s="9" t="s">
        <v>1300</v>
      </c>
      <c r="P369" s="9"/>
      <c r="Q369" s="7"/>
      <c r="R369" s="1"/>
    </row>
    <row r="370" spans="1:18" ht="85">
      <c r="A370" s="1"/>
      <c r="B370" s="6"/>
      <c r="C370" s="11">
        <f>SUBTOTAL(103,$D$4:D370)</f>
        <v>367</v>
      </c>
      <c r="D370" s="9" t="s">
        <v>1414</v>
      </c>
      <c r="E370" s="12" t="s">
        <v>1398</v>
      </c>
      <c r="F370" s="10" t="s">
        <v>22</v>
      </c>
      <c r="G370" s="9" t="s">
        <v>54</v>
      </c>
      <c r="H370" s="12" t="s">
        <v>1400</v>
      </c>
      <c r="I370" s="9" t="s">
        <v>54</v>
      </c>
      <c r="J370" s="12" t="s">
        <v>1401</v>
      </c>
      <c r="K370" s="10" t="s">
        <v>54</v>
      </c>
      <c r="L370" s="12" t="s">
        <v>1402</v>
      </c>
      <c r="M370" s="12" t="s">
        <v>55</v>
      </c>
      <c r="N370" s="12" t="s">
        <v>1399</v>
      </c>
      <c r="O370" s="9" t="s">
        <v>1403</v>
      </c>
      <c r="P370" s="9"/>
      <c r="Q370" s="7"/>
      <c r="R370" s="1"/>
    </row>
    <row r="371" spans="1:18" ht="102">
      <c r="A371" s="1"/>
      <c r="B371" s="6"/>
      <c r="C371" s="11">
        <f>SUBTOTAL(103,$D$4:D371)</f>
        <v>368</v>
      </c>
      <c r="D371" s="9" t="s">
        <v>1414</v>
      </c>
      <c r="E371" s="12" t="s">
        <v>1404</v>
      </c>
      <c r="F371" s="10" t="s">
        <v>22</v>
      </c>
      <c r="G371" s="9" t="s">
        <v>54</v>
      </c>
      <c r="H371" s="12" t="s">
        <v>1405</v>
      </c>
      <c r="I371" s="12" t="s">
        <v>55</v>
      </c>
      <c r="J371" s="12" t="s">
        <v>1406</v>
      </c>
      <c r="K371" s="10" t="s">
        <v>54</v>
      </c>
      <c r="L371" s="12" t="s">
        <v>1407</v>
      </c>
      <c r="M371" s="10" t="s">
        <v>54</v>
      </c>
      <c r="N371" s="12" t="s">
        <v>1408</v>
      </c>
      <c r="O371" s="9" t="s">
        <v>1409</v>
      </c>
      <c r="P371" s="9"/>
      <c r="Q371" s="7"/>
      <c r="R371" s="1"/>
    </row>
    <row r="372" spans="1:18" ht="34">
      <c r="A372" s="1"/>
      <c r="B372" s="6"/>
      <c r="C372" s="11">
        <f>SUBTOTAL(103,$D$4:D372)</f>
        <v>369</v>
      </c>
      <c r="D372" s="9" t="s">
        <v>1414</v>
      </c>
      <c r="E372" s="12" t="s">
        <v>1831</v>
      </c>
      <c r="F372" s="10" t="s">
        <v>8</v>
      </c>
      <c r="G372" s="12" t="s">
        <v>55</v>
      </c>
      <c r="H372" s="80" t="s">
        <v>10</v>
      </c>
      <c r="I372" s="10" t="s">
        <v>54</v>
      </c>
      <c r="J372" s="12" t="s">
        <v>9</v>
      </c>
      <c r="K372" s="10" t="s">
        <v>54</v>
      </c>
      <c r="L372" s="81" t="s">
        <v>177</v>
      </c>
      <c r="M372" s="10" t="s">
        <v>54</v>
      </c>
      <c r="N372" s="81" t="s">
        <v>177</v>
      </c>
      <c r="O372" s="9"/>
      <c r="P372" s="9"/>
      <c r="Q372" s="7"/>
      <c r="R372" s="1"/>
    </row>
    <row r="373" spans="1:18" ht="119">
      <c r="A373" s="1"/>
      <c r="B373" s="6"/>
      <c r="C373" s="11">
        <f>SUBTOTAL(103,$D$4:D373)</f>
        <v>370</v>
      </c>
      <c r="D373" s="9" t="s">
        <v>1414</v>
      </c>
      <c r="E373" s="12" t="s">
        <v>2107</v>
      </c>
      <c r="F373" s="89" t="s">
        <v>12</v>
      </c>
      <c r="G373" s="12" t="s">
        <v>55</v>
      </c>
      <c r="H373" s="81" t="s">
        <v>2108</v>
      </c>
      <c r="I373" s="12" t="s">
        <v>55</v>
      </c>
      <c r="J373" s="81" t="s">
        <v>2109</v>
      </c>
      <c r="K373" s="12" t="s">
        <v>55</v>
      </c>
      <c r="L373" s="81" t="s">
        <v>2110</v>
      </c>
      <c r="M373" s="10" t="s">
        <v>54</v>
      </c>
      <c r="N373" s="81" t="s">
        <v>2111</v>
      </c>
      <c r="O373" s="9"/>
      <c r="P373" s="104" t="s">
        <v>2437</v>
      </c>
      <c r="Q373" s="7"/>
      <c r="R373" s="1"/>
    </row>
    <row r="374" spans="1:18" ht="204">
      <c r="A374" s="1"/>
      <c r="B374" s="6"/>
      <c r="C374" s="11">
        <f>SUBTOTAL(103,$D$4:D374)</f>
        <v>371</v>
      </c>
      <c r="D374" s="9" t="s">
        <v>1414</v>
      </c>
      <c r="E374" s="12" t="s">
        <v>2112</v>
      </c>
      <c r="F374" s="89" t="s">
        <v>12</v>
      </c>
      <c r="G374" s="10" t="s">
        <v>54</v>
      </c>
      <c r="H374" s="81" t="s">
        <v>2113</v>
      </c>
      <c r="I374" s="10" t="s">
        <v>54</v>
      </c>
      <c r="J374" s="81" t="s">
        <v>2245</v>
      </c>
      <c r="K374" s="12" t="s">
        <v>55</v>
      </c>
      <c r="L374" s="81" t="s">
        <v>2114</v>
      </c>
      <c r="M374" s="12" t="s">
        <v>55</v>
      </c>
      <c r="N374" s="81" t="s">
        <v>2115</v>
      </c>
      <c r="O374" s="9"/>
      <c r="P374" s="104" t="s">
        <v>2437</v>
      </c>
      <c r="Q374" s="7"/>
      <c r="R374" s="1"/>
    </row>
    <row r="375" spans="1:18" ht="68">
      <c r="A375" s="1"/>
      <c r="B375" s="6"/>
      <c r="C375" s="11">
        <f>SUBTOTAL(103,$D$4:D375)</f>
        <v>372</v>
      </c>
      <c r="D375" s="9" t="s">
        <v>1414</v>
      </c>
      <c r="E375" s="12" t="s">
        <v>2129</v>
      </c>
      <c r="F375" s="89" t="s">
        <v>12</v>
      </c>
      <c r="G375" s="94" t="s">
        <v>55</v>
      </c>
      <c r="H375" s="81" t="s">
        <v>2130</v>
      </c>
      <c r="I375" s="94" t="s">
        <v>55</v>
      </c>
      <c r="J375" s="81" t="s">
        <v>2131</v>
      </c>
      <c r="K375" s="10" t="s">
        <v>54</v>
      </c>
      <c r="L375" s="81" t="s">
        <v>2132</v>
      </c>
      <c r="M375" s="94" t="s">
        <v>55</v>
      </c>
      <c r="N375" s="81" t="s">
        <v>2133</v>
      </c>
      <c r="O375" s="9"/>
      <c r="P375" s="104" t="s">
        <v>2437</v>
      </c>
      <c r="Q375" s="7"/>
      <c r="R375" s="1"/>
    </row>
    <row r="376" spans="1:18" ht="68">
      <c r="A376" s="1"/>
      <c r="B376" s="6"/>
      <c r="C376" s="11">
        <f>SUBTOTAL(103,$D$4:D376)</f>
        <v>373</v>
      </c>
      <c r="D376" s="9" t="s">
        <v>1414</v>
      </c>
      <c r="E376" s="12" t="s">
        <v>2144</v>
      </c>
      <c r="F376" s="89" t="s">
        <v>22</v>
      </c>
      <c r="G376" s="94" t="s">
        <v>55</v>
      </c>
      <c r="H376" s="81" t="s">
        <v>2145</v>
      </c>
      <c r="I376" s="10" t="s">
        <v>54</v>
      </c>
      <c r="J376" s="81" t="s">
        <v>2248</v>
      </c>
      <c r="K376" s="10" t="s">
        <v>54</v>
      </c>
      <c r="L376" s="81" t="s">
        <v>2146</v>
      </c>
      <c r="M376" s="10" t="s">
        <v>54</v>
      </c>
      <c r="N376" s="81" t="s">
        <v>2249</v>
      </c>
      <c r="O376" s="9"/>
      <c r="P376" s="104" t="s">
        <v>2437</v>
      </c>
      <c r="Q376" s="7"/>
      <c r="R376" s="1"/>
    </row>
    <row r="377" spans="1:18" ht="102">
      <c r="A377" s="1"/>
      <c r="B377" s="6"/>
      <c r="C377" s="11">
        <f>SUBTOTAL(103,$D$4:D377)</f>
        <v>374</v>
      </c>
      <c r="D377" s="9" t="s">
        <v>1414</v>
      </c>
      <c r="E377" s="12" t="s">
        <v>2147</v>
      </c>
      <c r="F377" s="10" t="s">
        <v>8</v>
      </c>
      <c r="G377" s="94" t="s">
        <v>55</v>
      </c>
      <c r="H377" s="80" t="s">
        <v>10</v>
      </c>
      <c r="I377" s="10" t="s">
        <v>54</v>
      </c>
      <c r="J377" s="12" t="s">
        <v>9</v>
      </c>
      <c r="K377" s="10" t="s">
        <v>54</v>
      </c>
      <c r="L377" s="81" t="s">
        <v>177</v>
      </c>
      <c r="M377" s="10" t="s">
        <v>54</v>
      </c>
      <c r="N377" s="81" t="s">
        <v>177</v>
      </c>
      <c r="O377" s="9"/>
      <c r="P377" s="104" t="s">
        <v>2437</v>
      </c>
      <c r="Q377" s="7"/>
      <c r="R377" s="1"/>
    </row>
    <row r="378" spans="1:18" ht="68">
      <c r="A378" s="1"/>
      <c r="B378" s="6"/>
      <c r="C378" s="11">
        <f>SUBTOTAL(103,$D$4:D378)</f>
        <v>375</v>
      </c>
      <c r="D378" s="9" t="s">
        <v>1414</v>
      </c>
      <c r="E378" s="12" t="s">
        <v>2158</v>
      </c>
      <c r="F378" s="89" t="s">
        <v>22</v>
      </c>
      <c r="G378" s="10" t="s">
        <v>54</v>
      </c>
      <c r="H378" s="81" t="s">
        <v>1906</v>
      </c>
      <c r="I378" s="10" t="s">
        <v>54</v>
      </c>
      <c r="J378" s="81" t="s">
        <v>720</v>
      </c>
      <c r="K378" s="10" t="s">
        <v>54</v>
      </c>
      <c r="L378" s="81" t="s">
        <v>613</v>
      </c>
      <c r="M378" s="94" t="s">
        <v>55</v>
      </c>
      <c r="N378" s="81" t="s">
        <v>614</v>
      </c>
      <c r="O378" s="9"/>
      <c r="P378" s="104" t="s">
        <v>2437</v>
      </c>
      <c r="Q378" s="7"/>
      <c r="R378" s="1"/>
    </row>
    <row r="379" spans="1:18" ht="68">
      <c r="A379" s="1"/>
      <c r="B379" s="6"/>
      <c r="C379" s="11">
        <f>SUBTOTAL(103,$D$4:D379)</f>
        <v>376</v>
      </c>
      <c r="D379" s="9" t="s">
        <v>1414</v>
      </c>
      <c r="E379" s="12" t="s">
        <v>2262</v>
      </c>
      <c r="F379" s="89" t="s">
        <v>22</v>
      </c>
      <c r="G379" s="10" t="s">
        <v>54</v>
      </c>
      <c r="H379" s="80" t="s">
        <v>2266</v>
      </c>
      <c r="I379" s="12" t="s">
        <v>55</v>
      </c>
      <c r="J379" s="81" t="s">
        <v>2265</v>
      </c>
      <c r="K379" s="10" t="s">
        <v>54</v>
      </c>
      <c r="L379" s="81" t="s">
        <v>2264</v>
      </c>
      <c r="M379" s="10" t="s">
        <v>54</v>
      </c>
      <c r="N379" s="80" t="s">
        <v>2263</v>
      </c>
      <c r="O379" s="9"/>
      <c r="P379" s="9"/>
      <c r="Q379" s="7"/>
      <c r="R379" s="1"/>
    </row>
    <row r="380" spans="1:18" ht="51">
      <c r="A380" s="1"/>
      <c r="B380" s="6"/>
      <c r="C380" s="11">
        <f>SUBTOTAL(103,$D$4:D380)</f>
        <v>377</v>
      </c>
      <c r="D380" s="9" t="s">
        <v>1414</v>
      </c>
      <c r="E380" s="12" t="s">
        <v>2311</v>
      </c>
      <c r="F380" s="10" t="s">
        <v>12</v>
      </c>
      <c r="G380" s="12" t="s">
        <v>55</v>
      </c>
      <c r="H380" s="80" t="s">
        <v>2312</v>
      </c>
      <c r="I380" s="10" t="s">
        <v>54</v>
      </c>
      <c r="J380" s="12" t="s">
        <v>2313</v>
      </c>
      <c r="K380" s="10" t="s">
        <v>54</v>
      </c>
      <c r="L380" s="81" t="s">
        <v>611</v>
      </c>
      <c r="M380" s="12" t="s">
        <v>55</v>
      </c>
      <c r="N380" s="80" t="s">
        <v>761</v>
      </c>
      <c r="O380" s="9"/>
      <c r="P380" s="9"/>
      <c r="Q380" s="7"/>
      <c r="R380" s="1"/>
    </row>
    <row r="381" spans="1:18" ht="17">
      <c r="A381" s="1"/>
      <c r="B381" s="6"/>
      <c r="C381" s="11">
        <f>SUBTOTAL(103,$D$4:D381)</f>
        <v>378</v>
      </c>
      <c r="D381" s="9" t="s">
        <v>1414</v>
      </c>
      <c r="E381" s="12" t="s">
        <v>2314</v>
      </c>
      <c r="F381" s="10" t="s">
        <v>12</v>
      </c>
      <c r="G381" s="12" t="s">
        <v>55</v>
      </c>
      <c r="H381" s="80" t="s">
        <v>614</v>
      </c>
      <c r="I381" s="12" t="s">
        <v>55</v>
      </c>
      <c r="J381" s="12" t="s">
        <v>1906</v>
      </c>
      <c r="K381" s="12" t="s">
        <v>55</v>
      </c>
      <c r="L381" s="81" t="s">
        <v>1907</v>
      </c>
      <c r="M381" s="10" t="s">
        <v>54</v>
      </c>
      <c r="N381" s="80" t="s">
        <v>1908</v>
      </c>
      <c r="O381" s="9"/>
      <c r="P381" s="9"/>
      <c r="Q381" s="7"/>
      <c r="R381" s="1"/>
    </row>
    <row r="382" spans="1:18" ht="68">
      <c r="A382" s="1"/>
      <c r="B382" s="6"/>
      <c r="C382" s="11">
        <f>SUBTOTAL(103,$D$4:D382)</f>
        <v>379</v>
      </c>
      <c r="D382" s="9" t="s">
        <v>1415</v>
      </c>
      <c r="E382" s="12" t="s">
        <v>868</v>
      </c>
      <c r="F382" s="10" t="s">
        <v>8</v>
      </c>
      <c r="G382" s="10" t="s">
        <v>54</v>
      </c>
      <c r="H382" s="80" t="s">
        <v>10</v>
      </c>
      <c r="I382" s="12" t="s">
        <v>55</v>
      </c>
      <c r="J382" s="12" t="s">
        <v>9</v>
      </c>
      <c r="K382" s="10" t="s">
        <v>54</v>
      </c>
      <c r="L382" s="81" t="s">
        <v>177</v>
      </c>
      <c r="M382" s="10" t="s">
        <v>54</v>
      </c>
      <c r="N382" s="81" t="s">
        <v>177</v>
      </c>
      <c r="O382" s="9"/>
      <c r="P382" s="11">
        <v>214</v>
      </c>
      <c r="Q382" s="7"/>
      <c r="R382" s="1"/>
    </row>
    <row r="383" spans="1:18" ht="68">
      <c r="A383" s="1"/>
      <c r="B383" s="6"/>
      <c r="C383" s="11">
        <f>SUBTOTAL(103,$D$4:D383)</f>
        <v>380</v>
      </c>
      <c r="D383" s="9" t="s">
        <v>1415</v>
      </c>
      <c r="E383" s="12" t="s">
        <v>869</v>
      </c>
      <c r="F383" s="10" t="s">
        <v>8</v>
      </c>
      <c r="G383" s="12" t="s">
        <v>55</v>
      </c>
      <c r="H383" s="80" t="s">
        <v>10</v>
      </c>
      <c r="I383" s="10" t="s">
        <v>54</v>
      </c>
      <c r="J383" s="12" t="s">
        <v>9</v>
      </c>
      <c r="K383" s="10" t="s">
        <v>54</v>
      </c>
      <c r="L383" s="81" t="s">
        <v>177</v>
      </c>
      <c r="M383" s="10" t="s">
        <v>54</v>
      </c>
      <c r="N383" s="81" t="s">
        <v>177</v>
      </c>
      <c r="O383" s="9"/>
      <c r="P383" s="11">
        <v>215</v>
      </c>
      <c r="Q383" s="7"/>
      <c r="R383" s="1"/>
    </row>
    <row r="384" spans="1:18" ht="68">
      <c r="A384" s="1"/>
      <c r="B384" s="6"/>
      <c r="C384" s="11">
        <f>SUBTOTAL(103,$D$4:D384)</f>
        <v>381</v>
      </c>
      <c r="D384" s="9" t="s">
        <v>1415</v>
      </c>
      <c r="E384" s="12" t="s">
        <v>870</v>
      </c>
      <c r="F384" s="10" t="s">
        <v>12</v>
      </c>
      <c r="G384" s="12" t="s">
        <v>55</v>
      </c>
      <c r="H384" s="81" t="s">
        <v>871</v>
      </c>
      <c r="I384" s="10" t="s">
        <v>54</v>
      </c>
      <c r="J384" s="81" t="s">
        <v>872</v>
      </c>
      <c r="K384" s="12" t="s">
        <v>55</v>
      </c>
      <c r="L384" s="81" t="s">
        <v>873</v>
      </c>
      <c r="M384" s="10" t="s">
        <v>54</v>
      </c>
      <c r="N384" s="81" t="s">
        <v>874</v>
      </c>
      <c r="O384" s="9"/>
      <c r="P384" s="11">
        <v>216</v>
      </c>
      <c r="Q384" s="7"/>
      <c r="R384" s="1"/>
    </row>
    <row r="385" spans="1:18" ht="34">
      <c r="A385" s="1"/>
      <c r="B385" s="6"/>
      <c r="C385" s="11">
        <f>SUBTOTAL(103,$D$4:D385)</f>
        <v>382</v>
      </c>
      <c r="D385" s="9" t="s">
        <v>1415</v>
      </c>
      <c r="E385" s="12" t="s">
        <v>875</v>
      </c>
      <c r="F385" s="10" t="s">
        <v>22</v>
      </c>
      <c r="G385" s="12" t="s">
        <v>55</v>
      </c>
      <c r="H385" s="81" t="s">
        <v>876</v>
      </c>
      <c r="I385" s="10" t="s">
        <v>54</v>
      </c>
      <c r="J385" s="81" t="s">
        <v>877</v>
      </c>
      <c r="K385" s="10" t="s">
        <v>54</v>
      </c>
      <c r="L385" s="81" t="s">
        <v>878</v>
      </c>
      <c r="M385" s="10" t="s">
        <v>54</v>
      </c>
      <c r="N385" s="81" t="s">
        <v>879</v>
      </c>
      <c r="O385" s="9"/>
      <c r="P385" s="11">
        <v>217</v>
      </c>
      <c r="Q385" s="7"/>
      <c r="R385" s="1"/>
    </row>
    <row r="386" spans="1:18" ht="85">
      <c r="A386" s="1"/>
      <c r="B386" s="6"/>
      <c r="C386" s="11">
        <f>SUBTOTAL(103,$D$4:D386)</f>
        <v>383</v>
      </c>
      <c r="D386" s="9" t="s">
        <v>1415</v>
      </c>
      <c r="E386" s="12" t="s">
        <v>880</v>
      </c>
      <c r="F386" s="10" t="s">
        <v>22</v>
      </c>
      <c r="G386" s="10" t="s">
        <v>54</v>
      </c>
      <c r="H386" s="81" t="s">
        <v>881</v>
      </c>
      <c r="I386" s="10" t="s">
        <v>54</v>
      </c>
      <c r="J386" s="81" t="s">
        <v>882</v>
      </c>
      <c r="K386" s="10" t="s">
        <v>54</v>
      </c>
      <c r="L386" s="81" t="s">
        <v>883</v>
      </c>
      <c r="M386" s="12" t="s">
        <v>55</v>
      </c>
      <c r="N386" s="81" t="s">
        <v>884</v>
      </c>
      <c r="O386" s="9"/>
      <c r="P386" s="11">
        <v>218</v>
      </c>
      <c r="Q386" s="7"/>
      <c r="R386" s="1"/>
    </row>
    <row r="387" spans="1:18" ht="119">
      <c r="A387" s="1"/>
      <c r="B387" s="6"/>
      <c r="C387" s="11">
        <f>SUBTOTAL(103,$D$4:D387)</f>
        <v>384</v>
      </c>
      <c r="D387" s="9" t="s">
        <v>1415</v>
      </c>
      <c r="E387" s="12" t="s">
        <v>885</v>
      </c>
      <c r="F387" s="10" t="s">
        <v>12</v>
      </c>
      <c r="G387" s="10" t="s">
        <v>54</v>
      </c>
      <c r="H387" s="81" t="s">
        <v>886</v>
      </c>
      <c r="I387" s="12" t="s">
        <v>55</v>
      </c>
      <c r="J387" s="81" t="s">
        <v>887</v>
      </c>
      <c r="K387" s="12" t="s">
        <v>55</v>
      </c>
      <c r="L387" s="81" t="s">
        <v>888</v>
      </c>
      <c r="M387" s="12" t="s">
        <v>55</v>
      </c>
      <c r="N387" s="81" t="s">
        <v>889</v>
      </c>
      <c r="O387" s="9"/>
      <c r="P387" s="11">
        <v>219</v>
      </c>
      <c r="Q387" s="7"/>
      <c r="R387" s="1"/>
    </row>
    <row r="388" spans="1:18" ht="119">
      <c r="A388" s="1"/>
      <c r="B388" s="6"/>
      <c r="C388" s="11">
        <f>SUBTOTAL(103,$D$4:D388)</f>
        <v>385</v>
      </c>
      <c r="D388" s="9" t="s">
        <v>1415</v>
      </c>
      <c r="E388" s="12" t="s">
        <v>890</v>
      </c>
      <c r="F388" s="10" t="s">
        <v>12</v>
      </c>
      <c r="G388" s="12" t="s">
        <v>55</v>
      </c>
      <c r="H388" s="81" t="s">
        <v>891</v>
      </c>
      <c r="I388" s="12" t="s">
        <v>55</v>
      </c>
      <c r="J388" s="81" t="s">
        <v>892</v>
      </c>
      <c r="K388" s="10" t="s">
        <v>54</v>
      </c>
      <c r="L388" s="81" t="s">
        <v>893</v>
      </c>
      <c r="M388" s="12" t="s">
        <v>55</v>
      </c>
      <c r="N388" s="81" t="s">
        <v>894</v>
      </c>
      <c r="O388" s="9"/>
      <c r="P388" s="11">
        <v>220</v>
      </c>
      <c r="Q388" s="7"/>
      <c r="R388" s="1"/>
    </row>
    <row r="389" spans="1:18" ht="153">
      <c r="A389" s="1"/>
      <c r="B389" s="6"/>
      <c r="C389" s="11">
        <f>SUBTOTAL(103,$D$4:D389)</f>
        <v>386</v>
      </c>
      <c r="D389" s="9" t="s">
        <v>1415</v>
      </c>
      <c r="E389" s="12" t="s">
        <v>895</v>
      </c>
      <c r="F389" s="10" t="s">
        <v>12</v>
      </c>
      <c r="G389" s="12" t="s">
        <v>55</v>
      </c>
      <c r="H389" s="81" t="s">
        <v>896</v>
      </c>
      <c r="I389" s="10" t="s">
        <v>54</v>
      </c>
      <c r="J389" s="81" t="s">
        <v>897</v>
      </c>
      <c r="K389" s="12" t="s">
        <v>55</v>
      </c>
      <c r="L389" s="81" t="s">
        <v>898</v>
      </c>
      <c r="M389" s="12" t="s">
        <v>55</v>
      </c>
      <c r="N389" s="81" t="s">
        <v>899</v>
      </c>
      <c r="O389" s="9"/>
      <c r="P389" s="11">
        <v>221</v>
      </c>
      <c r="Q389" s="7"/>
      <c r="R389" s="1"/>
    </row>
    <row r="390" spans="1:18" ht="119">
      <c r="A390" s="1"/>
      <c r="B390" s="6"/>
      <c r="C390" s="11">
        <f>SUBTOTAL(103,$D$4:D390)</f>
        <v>387</v>
      </c>
      <c r="D390" s="9" t="s">
        <v>1415</v>
      </c>
      <c r="E390" s="12" t="s">
        <v>900</v>
      </c>
      <c r="F390" s="10" t="s">
        <v>22</v>
      </c>
      <c r="G390" s="12" t="s">
        <v>55</v>
      </c>
      <c r="H390" s="81" t="s">
        <v>901</v>
      </c>
      <c r="I390" s="10" t="s">
        <v>54</v>
      </c>
      <c r="J390" s="81" t="s">
        <v>902</v>
      </c>
      <c r="K390" s="10" t="s">
        <v>54</v>
      </c>
      <c r="L390" s="81" t="s">
        <v>903</v>
      </c>
      <c r="M390" s="10" t="s">
        <v>54</v>
      </c>
      <c r="N390" s="81" t="s">
        <v>904</v>
      </c>
      <c r="O390" s="9"/>
      <c r="P390" s="11">
        <v>222</v>
      </c>
      <c r="Q390" s="7"/>
      <c r="R390" s="1"/>
    </row>
    <row r="391" spans="1:18" ht="153">
      <c r="A391" s="1"/>
      <c r="B391" s="6"/>
      <c r="C391" s="11">
        <f>SUBTOTAL(103,$D$4:D391)</f>
        <v>388</v>
      </c>
      <c r="D391" s="9" t="s">
        <v>1415</v>
      </c>
      <c r="E391" s="12" t="s">
        <v>905</v>
      </c>
      <c r="F391" s="10" t="s">
        <v>22</v>
      </c>
      <c r="G391" s="10" t="s">
        <v>54</v>
      </c>
      <c r="H391" s="81" t="s">
        <v>906</v>
      </c>
      <c r="I391" s="10" t="s">
        <v>54</v>
      </c>
      <c r="J391" s="81" t="s">
        <v>907</v>
      </c>
      <c r="K391" s="12" t="s">
        <v>55</v>
      </c>
      <c r="L391" s="81" t="s">
        <v>908</v>
      </c>
      <c r="M391" s="10" t="s">
        <v>54</v>
      </c>
      <c r="N391" s="81" t="s">
        <v>909</v>
      </c>
      <c r="O391" s="9"/>
      <c r="P391" s="11">
        <v>223</v>
      </c>
      <c r="Q391" s="7"/>
      <c r="R391" s="1"/>
    </row>
    <row r="392" spans="1:18" ht="136">
      <c r="A392" s="1"/>
      <c r="B392" s="6"/>
      <c r="C392" s="11">
        <f>SUBTOTAL(103,$D$4:D392)</f>
        <v>389</v>
      </c>
      <c r="D392" s="9" t="s">
        <v>1415</v>
      </c>
      <c r="E392" s="12" t="s">
        <v>910</v>
      </c>
      <c r="F392" s="10" t="s">
        <v>22</v>
      </c>
      <c r="G392" s="10" t="s">
        <v>54</v>
      </c>
      <c r="H392" s="81" t="s">
        <v>911</v>
      </c>
      <c r="I392" s="10" t="s">
        <v>54</v>
      </c>
      <c r="J392" s="81" t="s">
        <v>912</v>
      </c>
      <c r="K392" s="10" t="s">
        <v>54</v>
      </c>
      <c r="L392" s="81" t="s">
        <v>913</v>
      </c>
      <c r="M392" s="12" t="s">
        <v>55</v>
      </c>
      <c r="N392" s="81" t="s">
        <v>914</v>
      </c>
      <c r="O392" s="9"/>
      <c r="P392" s="11">
        <v>224</v>
      </c>
      <c r="Q392" s="7"/>
      <c r="R392" s="1"/>
    </row>
    <row r="393" spans="1:18" ht="34">
      <c r="A393" s="1"/>
      <c r="B393" s="6"/>
      <c r="C393" s="11">
        <f>SUBTOTAL(103,$D$4:D393)</f>
        <v>390</v>
      </c>
      <c r="D393" s="9" t="s">
        <v>1415</v>
      </c>
      <c r="E393" s="12" t="s">
        <v>915</v>
      </c>
      <c r="F393" s="10" t="s">
        <v>8</v>
      </c>
      <c r="G393" s="12" t="s">
        <v>55</v>
      </c>
      <c r="H393" s="80" t="s">
        <v>10</v>
      </c>
      <c r="I393" s="10" t="s">
        <v>54</v>
      </c>
      <c r="J393" s="12" t="s">
        <v>9</v>
      </c>
      <c r="K393" s="10" t="s">
        <v>54</v>
      </c>
      <c r="L393" s="81" t="s">
        <v>177</v>
      </c>
      <c r="M393" s="10" t="s">
        <v>54</v>
      </c>
      <c r="N393" s="81" t="s">
        <v>177</v>
      </c>
      <c r="O393" s="9"/>
      <c r="P393" s="11">
        <v>225</v>
      </c>
      <c r="Q393" s="7"/>
      <c r="R393" s="1"/>
    </row>
    <row r="394" spans="1:18" ht="68">
      <c r="A394" s="1"/>
      <c r="B394" s="6"/>
      <c r="C394" s="11">
        <f>SUBTOTAL(103,$D$4:D394)</f>
        <v>391</v>
      </c>
      <c r="D394" s="9" t="s">
        <v>1415</v>
      </c>
      <c r="E394" s="12" t="s">
        <v>916</v>
      </c>
      <c r="F394" s="10" t="s">
        <v>8</v>
      </c>
      <c r="G394" s="10" t="s">
        <v>54</v>
      </c>
      <c r="H394" s="80" t="s">
        <v>10</v>
      </c>
      <c r="I394" s="12" t="s">
        <v>55</v>
      </c>
      <c r="J394" s="12" t="s">
        <v>9</v>
      </c>
      <c r="K394" s="10" t="s">
        <v>54</v>
      </c>
      <c r="L394" s="81" t="s">
        <v>177</v>
      </c>
      <c r="M394" s="10" t="s">
        <v>54</v>
      </c>
      <c r="N394" s="81" t="s">
        <v>177</v>
      </c>
      <c r="O394" s="9"/>
      <c r="P394" s="11">
        <v>226</v>
      </c>
      <c r="Q394" s="7"/>
      <c r="R394" s="1"/>
    </row>
    <row r="395" spans="1:18" ht="68">
      <c r="A395" s="1"/>
      <c r="B395" s="6"/>
      <c r="C395" s="11">
        <f>SUBTOTAL(103,$D$4:D395)</f>
        <v>392</v>
      </c>
      <c r="D395" s="9" t="s">
        <v>1415</v>
      </c>
      <c r="E395" s="12" t="s">
        <v>917</v>
      </c>
      <c r="F395" s="10" t="s">
        <v>8</v>
      </c>
      <c r="G395" s="10" t="s">
        <v>54</v>
      </c>
      <c r="H395" s="80" t="s">
        <v>10</v>
      </c>
      <c r="I395" s="12" t="s">
        <v>55</v>
      </c>
      <c r="J395" s="12" t="s">
        <v>9</v>
      </c>
      <c r="K395" s="10" t="s">
        <v>54</v>
      </c>
      <c r="L395" s="81" t="s">
        <v>177</v>
      </c>
      <c r="M395" s="10" t="s">
        <v>54</v>
      </c>
      <c r="N395" s="81" t="s">
        <v>177</v>
      </c>
      <c r="O395" s="9"/>
      <c r="P395" s="11">
        <v>227</v>
      </c>
      <c r="Q395" s="7"/>
      <c r="R395" s="1"/>
    </row>
    <row r="396" spans="1:18" ht="68">
      <c r="A396" s="1"/>
      <c r="B396" s="6"/>
      <c r="C396" s="11">
        <f>SUBTOTAL(103,$D$4:D396)</f>
        <v>393</v>
      </c>
      <c r="D396" s="9" t="s">
        <v>1415</v>
      </c>
      <c r="E396" s="12" t="s">
        <v>918</v>
      </c>
      <c r="F396" s="10" t="s">
        <v>12</v>
      </c>
      <c r="G396" s="12" t="s">
        <v>55</v>
      </c>
      <c r="H396" s="81" t="s">
        <v>919</v>
      </c>
      <c r="I396" s="10" t="s">
        <v>54</v>
      </c>
      <c r="J396" s="81" t="s">
        <v>920</v>
      </c>
      <c r="K396" s="12" t="s">
        <v>55</v>
      </c>
      <c r="L396" s="81" t="s">
        <v>921</v>
      </c>
      <c r="M396" s="10" t="s">
        <v>54</v>
      </c>
      <c r="N396" s="81" t="s">
        <v>922</v>
      </c>
      <c r="O396" s="9"/>
      <c r="P396" s="11">
        <v>228</v>
      </c>
      <c r="Q396" s="7"/>
      <c r="R396" s="1"/>
    </row>
    <row r="397" spans="1:18" ht="119">
      <c r="A397" s="1"/>
      <c r="B397" s="6"/>
      <c r="C397" s="11">
        <f>SUBTOTAL(103,$D$4:D397)</f>
        <v>394</v>
      </c>
      <c r="D397" s="9" t="s">
        <v>1415</v>
      </c>
      <c r="E397" s="12" t="s">
        <v>923</v>
      </c>
      <c r="F397" s="10" t="s">
        <v>12</v>
      </c>
      <c r="G397" s="10" t="s">
        <v>54</v>
      </c>
      <c r="H397" s="81" t="s">
        <v>924</v>
      </c>
      <c r="I397" s="12" t="s">
        <v>55</v>
      </c>
      <c r="J397" s="81" t="s">
        <v>925</v>
      </c>
      <c r="K397" s="12" t="s">
        <v>55</v>
      </c>
      <c r="L397" s="81" t="s">
        <v>926</v>
      </c>
      <c r="M397" s="10" t="s">
        <v>54</v>
      </c>
      <c r="N397" s="81" t="s">
        <v>927</v>
      </c>
      <c r="O397" s="9"/>
      <c r="P397" s="11">
        <v>229</v>
      </c>
      <c r="Q397" s="7"/>
      <c r="R397" s="1"/>
    </row>
    <row r="398" spans="1:18" ht="102">
      <c r="A398" s="1"/>
      <c r="B398" s="6"/>
      <c r="C398" s="11">
        <f>SUBTOTAL(103,$D$4:D398)</f>
        <v>395</v>
      </c>
      <c r="D398" s="9" t="s">
        <v>1415</v>
      </c>
      <c r="E398" s="12" t="s">
        <v>928</v>
      </c>
      <c r="F398" s="10" t="s">
        <v>12</v>
      </c>
      <c r="G398" s="12" t="s">
        <v>55</v>
      </c>
      <c r="H398" s="81" t="s">
        <v>929</v>
      </c>
      <c r="I398" s="10" t="s">
        <v>54</v>
      </c>
      <c r="J398" s="81" t="s">
        <v>930</v>
      </c>
      <c r="K398" s="12" t="s">
        <v>55</v>
      </c>
      <c r="L398" s="81" t="s">
        <v>931</v>
      </c>
      <c r="M398" s="10" t="s">
        <v>54</v>
      </c>
      <c r="N398" s="81" t="s">
        <v>932</v>
      </c>
      <c r="O398" s="9"/>
      <c r="P398" s="11">
        <v>230</v>
      </c>
      <c r="Q398" s="7"/>
      <c r="R398" s="1"/>
    </row>
    <row r="399" spans="1:18" ht="102">
      <c r="A399" s="1"/>
      <c r="B399" s="6"/>
      <c r="C399" s="11">
        <f>SUBTOTAL(103,$D$4:D399)</f>
        <v>396</v>
      </c>
      <c r="D399" s="9" t="s">
        <v>1415</v>
      </c>
      <c r="E399" s="12" t="s">
        <v>933</v>
      </c>
      <c r="F399" s="10" t="s">
        <v>22</v>
      </c>
      <c r="G399" s="10" t="s">
        <v>54</v>
      </c>
      <c r="H399" s="81" t="s">
        <v>934</v>
      </c>
      <c r="I399" s="12" t="s">
        <v>55</v>
      </c>
      <c r="J399" s="81" t="s">
        <v>935</v>
      </c>
      <c r="K399" s="10" t="s">
        <v>54</v>
      </c>
      <c r="L399" s="81" t="s">
        <v>936</v>
      </c>
      <c r="M399" s="10" t="s">
        <v>54</v>
      </c>
      <c r="N399" s="81" t="s">
        <v>937</v>
      </c>
      <c r="O399" s="9"/>
      <c r="P399" s="11">
        <v>231</v>
      </c>
      <c r="Q399" s="7"/>
      <c r="R399" s="1"/>
    </row>
    <row r="400" spans="1:18" ht="221">
      <c r="A400" s="1"/>
      <c r="B400" s="6"/>
      <c r="C400" s="11">
        <f>SUBTOTAL(103,$D$4:D400)</f>
        <v>397</v>
      </c>
      <c r="D400" s="9" t="s">
        <v>1415</v>
      </c>
      <c r="E400" s="12" t="s">
        <v>938</v>
      </c>
      <c r="F400" s="10" t="s">
        <v>22</v>
      </c>
      <c r="G400" s="10" t="s">
        <v>54</v>
      </c>
      <c r="H400" s="81" t="s">
        <v>939</v>
      </c>
      <c r="I400" s="12" t="s">
        <v>55</v>
      </c>
      <c r="J400" s="81" t="s">
        <v>940</v>
      </c>
      <c r="K400" s="10" t="s">
        <v>54</v>
      </c>
      <c r="L400" s="81" t="s">
        <v>941</v>
      </c>
      <c r="M400" s="10" t="s">
        <v>54</v>
      </c>
      <c r="N400" s="81" t="s">
        <v>914</v>
      </c>
      <c r="O400" s="9"/>
      <c r="P400" s="11">
        <v>232</v>
      </c>
      <c r="Q400" s="7"/>
      <c r="R400" s="1"/>
    </row>
    <row r="401" spans="1:18" ht="221">
      <c r="A401" s="1"/>
      <c r="B401" s="6"/>
      <c r="C401" s="11">
        <f>SUBTOTAL(103,$D$4:D401)</f>
        <v>398</v>
      </c>
      <c r="D401" s="9" t="s">
        <v>1415</v>
      </c>
      <c r="E401" s="12" t="s">
        <v>942</v>
      </c>
      <c r="F401" s="10" t="s">
        <v>22</v>
      </c>
      <c r="G401" s="10" t="s">
        <v>54</v>
      </c>
      <c r="H401" s="81" t="s">
        <v>943</v>
      </c>
      <c r="I401" s="10" t="s">
        <v>54</v>
      </c>
      <c r="J401" s="81" t="s">
        <v>944</v>
      </c>
      <c r="K401" s="10" t="s">
        <v>54</v>
      </c>
      <c r="L401" s="81" t="s">
        <v>945</v>
      </c>
      <c r="M401" s="12" t="s">
        <v>55</v>
      </c>
      <c r="N401" s="81" t="s">
        <v>946</v>
      </c>
      <c r="O401" s="9"/>
      <c r="P401" s="11">
        <v>233</v>
      </c>
      <c r="Q401" s="7"/>
      <c r="R401" s="1"/>
    </row>
    <row r="402" spans="1:18" ht="119">
      <c r="A402" s="1"/>
      <c r="B402" s="6"/>
      <c r="C402" s="11">
        <f>SUBTOTAL(103,$D$4:D402)</f>
        <v>399</v>
      </c>
      <c r="D402" s="9" t="s">
        <v>1415</v>
      </c>
      <c r="E402" s="12" t="s">
        <v>947</v>
      </c>
      <c r="F402" s="10" t="s">
        <v>22</v>
      </c>
      <c r="G402" s="10" t="s">
        <v>54</v>
      </c>
      <c r="H402" s="81" t="s">
        <v>948</v>
      </c>
      <c r="I402" s="12" t="s">
        <v>55</v>
      </c>
      <c r="J402" s="81" t="s">
        <v>949</v>
      </c>
      <c r="K402" s="10" t="s">
        <v>54</v>
      </c>
      <c r="L402" s="81" t="s">
        <v>950</v>
      </c>
      <c r="M402" s="10" t="s">
        <v>54</v>
      </c>
      <c r="N402" s="81" t="s">
        <v>914</v>
      </c>
      <c r="O402" s="9"/>
      <c r="P402" s="11">
        <v>234</v>
      </c>
      <c r="Q402" s="7"/>
      <c r="R402" s="1"/>
    </row>
    <row r="403" spans="1:18" ht="85">
      <c r="A403" s="1"/>
      <c r="B403" s="6"/>
      <c r="C403" s="11">
        <f>SUBTOTAL(103,$D$4:D403)</f>
        <v>400</v>
      </c>
      <c r="D403" s="9" t="s">
        <v>1415</v>
      </c>
      <c r="E403" s="12" t="s">
        <v>951</v>
      </c>
      <c r="F403" s="10" t="s">
        <v>22</v>
      </c>
      <c r="G403" s="10" t="s">
        <v>54</v>
      </c>
      <c r="H403" s="81" t="s">
        <v>952</v>
      </c>
      <c r="I403" s="10" t="s">
        <v>54</v>
      </c>
      <c r="J403" s="81" t="s">
        <v>953</v>
      </c>
      <c r="K403" s="12" t="s">
        <v>55</v>
      </c>
      <c r="L403" s="81" t="s">
        <v>954</v>
      </c>
      <c r="M403" s="10" t="s">
        <v>54</v>
      </c>
      <c r="N403" s="81" t="s">
        <v>955</v>
      </c>
      <c r="O403" s="9"/>
      <c r="P403" s="11">
        <v>235</v>
      </c>
      <c r="Q403" s="7"/>
      <c r="R403" s="1"/>
    </row>
    <row r="404" spans="1:18" ht="119">
      <c r="A404" s="1"/>
      <c r="B404" s="6"/>
      <c r="C404" s="11">
        <f>SUBTOTAL(103,$D$4:D404)</f>
        <v>401</v>
      </c>
      <c r="D404" s="9" t="s">
        <v>1415</v>
      </c>
      <c r="E404" s="12" t="s">
        <v>956</v>
      </c>
      <c r="F404" s="10" t="s">
        <v>22</v>
      </c>
      <c r="G404" s="10" t="s">
        <v>54</v>
      </c>
      <c r="H404" s="81" t="s">
        <v>954</v>
      </c>
      <c r="I404" s="10" t="s">
        <v>54</v>
      </c>
      <c r="J404" s="81" t="s">
        <v>957</v>
      </c>
      <c r="K404" s="10" t="s">
        <v>54</v>
      </c>
      <c r="L404" s="81" t="s">
        <v>958</v>
      </c>
      <c r="M404" s="12" t="s">
        <v>55</v>
      </c>
      <c r="N404" s="81" t="s">
        <v>959</v>
      </c>
      <c r="O404" s="9"/>
      <c r="P404" s="11">
        <v>236</v>
      </c>
      <c r="Q404" s="7"/>
      <c r="R404" s="1"/>
    </row>
    <row r="405" spans="1:18" ht="136">
      <c r="A405" s="1"/>
      <c r="B405" s="6"/>
      <c r="C405" s="11">
        <f>SUBTOTAL(103,$D$4:D405)</f>
        <v>402</v>
      </c>
      <c r="D405" s="9" t="s">
        <v>1415</v>
      </c>
      <c r="E405" s="12" t="s">
        <v>960</v>
      </c>
      <c r="F405" s="10" t="s">
        <v>22</v>
      </c>
      <c r="G405" s="10" t="s">
        <v>54</v>
      </c>
      <c r="H405" s="81" t="s">
        <v>961</v>
      </c>
      <c r="I405" s="10" t="s">
        <v>54</v>
      </c>
      <c r="J405" s="81" t="s">
        <v>962</v>
      </c>
      <c r="K405" s="12" t="s">
        <v>55</v>
      </c>
      <c r="L405" s="81" t="s">
        <v>963</v>
      </c>
      <c r="M405" s="10" t="s">
        <v>54</v>
      </c>
      <c r="N405" s="81" t="s">
        <v>964</v>
      </c>
      <c r="O405" s="9"/>
      <c r="P405" s="11">
        <v>237</v>
      </c>
      <c r="Q405" s="7"/>
      <c r="R405" s="1"/>
    </row>
    <row r="406" spans="1:18" ht="153">
      <c r="A406" s="1"/>
      <c r="B406" s="6"/>
      <c r="C406" s="11">
        <f>SUBTOTAL(103,$D$4:D406)</f>
        <v>403</v>
      </c>
      <c r="D406" s="9" t="s">
        <v>1415</v>
      </c>
      <c r="E406" s="12" t="s">
        <v>965</v>
      </c>
      <c r="F406" s="10" t="s">
        <v>22</v>
      </c>
      <c r="G406" s="10" t="s">
        <v>54</v>
      </c>
      <c r="H406" s="81" t="s">
        <v>966</v>
      </c>
      <c r="I406" s="10" t="s">
        <v>54</v>
      </c>
      <c r="J406" s="81" t="s">
        <v>967</v>
      </c>
      <c r="K406" s="10" t="s">
        <v>54</v>
      </c>
      <c r="L406" s="81" t="s">
        <v>968</v>
      </c>
      <c r="M406" s="12" t="s">
        <v>55</v>
      </c>
      <c r="N406" s="81" t="s">
        <v>969</v>
      </c>
      <c r="O406" s="9"/>
      <c r="P406" s="11">
        <v>238</v>
      </c>
      <c r="Q406" s="7"/>
      <c r="R406" s="1"/>
    </row>
    <row r="407" spans="1:18" ht="119">
      <c r="A407" s="1"/>
      <c r="B407" s="6"/>
      <c r="C407" s="11">
        <f>SUBTOTAL(103,$D$4:D407)</f>
        <v>404</v>
      </c>
      <c r="D407" s="9" t="s">
        <v>1415</v>
      </c>
      <c r="E407" s="12" t="s">
        <v>970</v>
      </c>
      <c r="F407" s="10" t="s">
        <v>22</v>
      </c>
      <c r="G407" s="12" t="s">
        <v>55</v>
      </c>
      <c r="H407" s="81" t="s">
        <v>971</v>
      </c>
      <c r="I407" s="10" t="s">
        <v>54</v>
      </c>
      <c r="J407" s="81" t="s">
        <v>972</v>
      </c>
      <c r="K407" s="10" t="s">
        <v>54</v>
      </c>
      <c r="L407" s="81" t="s">
        <v>973</v>
      </c>
      <c r="M407" s="10" t="s">
        <v>54</v>
      </c>
      <c r="N407" s="81" t="s">
        <v>974</v>
      </c>
      <c r="O407" s="9"/>
      <c r="P407" s="11">
        <v>239</v>
      </c>
      <c r="Q407" s="7"/>
      <c r="R407" s="1"/>
    </row>
    <row r="408" spans="1:18" ht="85">
      <c r="A408" s="1"/>
      <c r="B408" s="6"/>
      <c r="C408" s="11">
        <f>SUBTOTAL(103,$D$4:D408)</f>
        <v>405</v>
      </c>
      <c r="D408" s="9" t="s">
        <v>1415</v>
      </c>
      <c r="E408" s="12" t="s">
        <v>975</v>
      </c>
      <c r="F408" s="10" t="s">
        <v>8</v>
      </c>
      <c r="G408" s="12" t="s">
        <v>55</v>
      </c>
      <c r="H408" s="80" t="s">
        <v>10</v>
      </c>
      <c r="I408" s="10" t="s">
        <v>54</v>
      </c>
      <c r="J408" s="12" t="s">
        <v>9</v>
      </c>
      <c r="K408" s="10" t="s">
        <v>54</v>
      </c>
      <c r="L408" s="81" t="s">
        <v>177</v>
      </c>
      <c r="M408" s="10" t="s">
        <v>54</v>
      </c>
      <c r="N408" s="81" t="s">
        <v>177</v>
      </c>
      <c r="O408" s="9"/>
      <c r="P408" s="11">
        <v>240</v>
      </c>
      <c r="Q408" s="7"/>
      <c r="R408" s="1"/>
    </row>
    <row r="409" spans="1:18" ht="51">
      <c r="A409" s="1"/>
      <c r="B409" s="6"/>
      <c r="C409" s="11">
        <f>SUBTOTAL(103,$D$4:D409)</f>
        <v>406</v>
      </c>
      <c r="D409" s="9" t="s">
        <v>1415</v>
      </c>
      <c r="E409" s="12" t="s">
        <v>976</v>
      </c>
      <c r="F409" s="10" t="s">
        <v>8</v>
      </c>
      <c r="G409" s="10" t="s">
        <v>54</v>
      </c>
      <c r="H409" s="80" t="s">
        <v>10</v>
      </c>
      <c r="I409" s="12" t="s">
        <v>55</v>
      </c>
      <c r="J409" s="12" t="s">
        <v>9</v>
      </c>
      <c r="K409" s="10" t="s">
        <v>54</v>
      </c>
      <c r="L409" s="81" t="s">
        <v>177</v>
      </c>
      <c r="M409" s="10" t="s">
        <v>54</v>
      </c>
      <c r="N409" s="81" t="s">
        <v>177</v>
      </c>
      <c r="O409" s="9"/>
      <c r="P409" s="11">
        <v>241</v>
      </c>
      <c r="Q409" s="7"/>
      <c r="R409" s="1"/>
    </row>
    <row r="410" spans="1:18" ht="34">
      <c r="A410" s="1"/>
      <c r="B410" s="6"/>
      <c r="C410" s="11">
        <f>SUBTOTAL(103,$D$4:D410)</f>
        <v>407</v>
      </c>
      <c r="D410" s="9" t="s">
        <v>1415</v>
      </c>
      <c r="E410" s="12" t="s">
        <v>977</v>
      </c>
      <c r="F410" s="10" t="s">
        <v>8</v>
      </c>
      <c r="G410" s="12" t="s">
        <v>55</v>
      </c>
      <c r="H410" s="80" t="s">
        <v>10</v>
      </c>
      <c r="I410" s="10" t="s">
        <v>54</v>
      </c>
      <c r="J410" s="12" t="s">
        <v>9</v>
      </c>
      <c r="K410" s="10" t="s">
        <v>54</v>
      </c>
      <c r="L410" s="81" t="s">
        <v>177</v>
      </c>
      <c r="M410" s="10" t="s">
        <v>54</v>
      </c>
      <c r="N410" s="81" t="s">
        <v>177</v>
      </c>
      <c r="O410" s="9"/>
      <c r="P410" s="11">
        <v>242</v>
      </c>
      <c r="Q410" s="7"/>
      <c r="R410" s="1"/>
    </row>
    <row r="411" spans="1:18" ht="136">
      <c r="A411" s="1"/>
      <c r="B411" s="6"/>
      <c r="C411" s="11">
        <f>SUBTOTAL(103,$D$4:D411)</f>
        <v>408</v>
      </c>
      <c r="D411" s="9" t="s">
        <v>1415</v>
      </c>
      <c r="E411" s="12" t="s">
        <v>978</v>
      </c>
      <c r="F411" s="10" t="s">
        <v>12</v>
      </c>
      <c r="G411" s="12" t="s">
        <v>55</v>
      </c>
      <c r="H411" s="81" t="s">
        <v>979</v>
      </c>
      <c r="I411" s="12" t="s">
        <v>55</v>
      </c>
      <c r="J411" s="81" t="s">
        <v>980</v>
      </c>
      <c r="K411" s="10" t="s">
        <v>54</v>
      </c>
      <c r="L411" s="81" t="s">
        <v>981</v>
      </c>
      <c r="M411" s="10" t="s">
        <v>54</v>
      </c>
      <c r="N411" s="81" t="s">
        <v>982</v>
      </c>
      <c r="O411" s="9" t="s">
        <v>2327</v>
      </c>
      <c r="P411" s="11">
        <v>243</v>
      </c>
      <c r="Q411" s="7"/>
      <c r="R411" s="1"/>
    </row>
    <row r="412" spans="1:18" ht="119">
      <c r="A412" s="1"/>
      <c r="B412" s="6"/>
      <c r="C412" s="11">
        <f>SUBTOTAL(103,$D$4:D412)</f>
        <v>409</v>
      </c>
      <c r="D412" s="9" t="s">
        <v>1415</v>
      </c>
      <c r="E412" s="12" t="s">
        <v>983</v>
      </c>
      <c r="F412" s="10" t="s">
        <v>12</v>
      </c>
      <c r="G412" s="12" t="s">
        <v>55</v>
      </c>
      <c r="H412" s="81" t="s">
        <v>984</v>
      </c>
      <c r="I412" s="12" t="s">
        <v>55</v>
      </c>
      <c r="J412" s="81" t="s">
        <v>985</v>
      </c>
      <c r="K412" s="10" t="s">
        <v>54</v>
      </c>
      <c r="L412" s="81" t="s">
        <v>986</v>
      </c>
      <c r="M412" s="12" t="s">
        <v>55</v>
      </c>
      <c r="N412" s="81" t="s">
        <v>987</v>
      </c>
      <c r="O412" s="9"/>
      <c r="P412" s="11">
        <v>244</v>
      </c>
      <c r="Q412" s="7"/>
      <c r="R412" s="1"/>
    </row>
    <row r="413" spans="1:18" ht="153">
      <c r="A413" s="1"/>
      <c r="B413" s="6"/>
      <c r="C413" s="11">
        <f>SUBTOTAL(103,$D$4:D413)</f>
        <v>410</v>
      </c>
      <c r="D413" s="9" t="s">
        <v>1415</v>
      </c>
      <c r="E413" s="12" t="s">
        <v>988</v>
      </c>
      <c r="F413" s="10" t="s">
        <v>12</v>
      </c>
      <c r="G413" s="12" t="s">
        <v>55</v>
      </c>
      <c r="H413" s="81" t="s">
        <v>989</v>
      </c>
      <c r="I413" s="10" t="s">
        <v>54</v>
      </c>
      <c r="J413" s="81" t="s">
        <v>990</v>
      </c>
      <c r="K413" s="12" t="s">
        <v>55</v>
      </c>
      <c r="L413" s="81" t="s">
        <v>991</v>
      </c>
      <c r="M413" s="12" t="s">
        <v>55</v>
      </c>
      <c r="N413" s="81" t="s">
        <v>992</v>
      </c>
      <c r="O413" s="9"/>
      <c r="P413" s="11">
        <v>245</v>
      </c>
      <c r="Q413" s="7"/>
      <c r="R413" s="1"/>
    </row>
    <row r="414" spans="1:18" ht="34">
      <c r="A414" s="1"/>
      <c r="B414" s="6"/>
      <c r="C414" s="11">
        <f>SUBTOTAL(103,$D$4:D414)</f>
        <v>411</v>
      </c>
      <c r="D414" s="9" t="s">
        <v>1415</v>
      </c>
      <c r="E414" s="12" t="s">
        <v>993</v>
      </c>
      <c r="F414" s="10" t="s">
        <v>8</v>
      </c>
      <c r="G414" s="10" t="s">
        <v>54</v>
      </c>
      <c r="H414" s="80" t="s">
        <v>10</v>
      </c>
      <c r="I414" s="12" t="s">
        <v>55</v>
      </c>
      <c r="J414" s="12" t="s">
        <v>9</v>
      </c>
      <c r="K414" s="10" t="s">
        <v>54</v>
      </c>
      <c r="L414" s="81" t="s">
        <v>177</v>
      </c>
      <c r="M414" s="10" t="s">
        <v>54</v>
      </c>
      <c r="N414" s="81" t="s">
        <v>177</v>
      </c>
      <c r="O414" s="9"/>
      <c r="P414" s="11">
        <v>246</v>
      </c>
      <c r="Q414" s="7"/>
      <c r="R414" s="1"/>
    </row>
    <row r="415" spans="1:18" ht="51">
      <c r="A415" s="1"/>
      <c r="B415" s="6"/>
      <c r="C415" s="11">
        <f>SUBTOTAL(103,$D$4:D415)</f>
        <v>412</v>
      </c>
      <c r="D415" s="9" t="s">
        <v>1415</v>
      </c>
      <c r="E415" s="12" t="s">
        <v>994</v>
      </c>
      <c r="F415" s="10" t="s">
        <v>8</v>
      </c>
      <c r="G415" s="12" t="s">
        <v>55</v>
      </c>
      <c r="H415" s="80" t="s">
        <v>10</v>
      </c>
      <c r="I415" s="10" t="s">
        <v>54</v>
      </c>
      <c r="J415" s="12" t="s">
        <v>9</v>
      </c>
      <c r="K415" s="10" t="s">
        <v>54</v>
      </c>
      <c r="L415" s="81" t="s">
        <v>177</v>
      </c>
      <c r="M415" s="10" t="s">
        <v>54</v>
      </c>
      <c r="N415" s="81" t="s">
        <v>177</v>
      </c>
      <c r="O415" s="9"/>
      <c r="P415" s="11">
        <v>247</v>
      </c>
      <c r="Q415" s="7"/>
      <c r="R415" s="1"/>
    </row>
    <row r="416" spans="1:18" ht="85">
      <c r="A416" s="1"/>
      <c r="B416" s="6"/>
      <c r="C416" s="11">
        <f>SUBTOTAL(103,$D$4:D416)</f>
        <v>413</v>
      </c>
      <c r="D416" s="9" t="s">
        <v>1415</v>
      </c>
      <c r="E416" s="12" t="s">
        <v>995</v>
      </c>
      <c r="F416" s="10" t="s">
        <v>8</v>
      </c>
      <c r="G416" s="12" t="s">
        <v>55</v>
      </c>
      <c r="H416" s="80" t="s">
        <v>10</v>
      </c>
      <c r="I416" s="10" t="s">
        <v>54</v>
      </c>
      <c r="J416" s="12" t="s">
        <v>9</v>
      </c>
      <c r="K416" s="10" t="s">
        <v>54</v>
      </c>
      <c r="L416" s="81" t="s">
        <v>177</v>
      </c>
      <c r="M416" s="10" t="s">
        <v>54</v>
      </c>
      <c r="N416" s="81" t="s">
        <v>177</v>
      </c>
      <c r="O416" s="9"/>
      <c r="P416" s="11">
        <v>248</v>
      </c>
      <c r="Q416" s="7"/>
      <c r="R416" s="1"/>
    </row>
    <row r="417" spans="1:18" ht="170">
      <c r="A417" s="1"/>
      <c r="B417" s="6"/>
      <c r="C417" s="11">
        <f>SUBTOTAL(103,$D$4:D417)</f>
        <v>414</v>
      </c>
      <c r="D417" s="9" t="s">
        <v>1415</v>
      </c>
      <c r="E417" s="12" t="s">
        <v>996</v>
      </c>
      <c r="F417" s="10" t="s">
        <v>22</v>
      </c>
      <c r="G417" s="10" t="s">
        <v>54</v>
      </c>
      <c r="H417" s="81" t="s">
        <v>997</v>
      </c>
      <c r="I417" s="10" t="s">
        <v>54</v>
      </c>
      <c r="J417" s="81" t="s">
        <v>998</v>
      </c>
      <c r="K417" s="10" t="s">
        <v>54</v>
      </c>
      <c r="L417" s="81" t="s">
        <v>999</v>
      </c>
      <c r="M417" s="12" t="s">
        <v>55</v>
      </c>
      <c r="N417" s="81" t="s">
        <v>67</v>
      </c>
      <c r="O417" s="9"/>
      <c r="P417" s="11">
        <v>249</v>
      </c>
      <c r="Q417" s="7"/>
      <c r="R417" s="1"/>
    </row>
    <row r="418" spans="1:18" ht="136">
      <c r="A418" s="1"/>
      <c r="B418" s="6"/>
      <c r="C418" s="11">
        <f>SUBTOTAL(103,$D$4:D418)</f>
        <v>415</v>
      </c>
      <c r="D418" s="9" t="s">
        <v>1415</v>
      </c>
      <c r="E418" s="12" t="s">
        <v>1000</v>
      </c>
      <c r="F418" s="10" t="s">
        <v>22</v>
      </c>
      <c r="G418" s="10" t="s">
        <v>54</v>
      </c>
      <c r="H418" s="81" t="s">
        <v>1001</v>
      </c>
      <c r="I418" s="10" t="s">
        <v>54</v>
      </c>
      <c r="J418" s="81" t="s">
        <v>1002</v>
      </c>
      <c r="K418" s="10" t="s">
        <v>54</v>
      </c>
      <c r="L418" s="81" t="s">
        <v>1003</v>
      </c>
      <c r="M418" s="12" t="s">
        <v>55</v>
      </c>
      <c r="N418" s="81" t="s">
        <v>1004</v>
      </c>
      <c r="O418" s="9"/>
      <c r="P418" s="11">
        <v>250</v>
      </c>
      <c r="Q418" s="7"/>
      <c r="R418" s="1"/>
    </row>
    <row r="419" spans="1:18" ht="51">
      <c r="A419" s="1"/>
      <c r="B419" s="6"/>
      <c r="C419" s="11">
        <f>SUBTOTAL(103,$D$4:D419)</f>
        <v>416</v>
      </c>
      <c r="D419" s="9" t="s">
        <v>1415</v>
      </c>
      <c r="E419" s="12" t="s">
        <v>1005</v>
      </c>
      <c r="F419" s="10" t="s">
        <v>22</v>
      </c>
      <c r="G419" s="10" t="s">
        <v>54</v>
      </c>
      <c r="H419" s="81" t="s">
        <v>1006</v>
      </c>
      <c r="I419" s="10" t="s">
        <v>54</v>
      </c>
      <c r="J419" s="81" t="s">
        <v>1007</v>
      </c>
      <c r="K419" s="12" t="s">
        <v>55</v>
      </c>
      <c r="L419" s="81" t="s">
        <v>1008</v>
      </c>
      <c r="M419" s="10" t="s">
        <v>54</v>
      </c>
      <c r="N419" s="81" t="s">
        <v>914</v>
      </c>
      <c r="O419" s="9"/>
      <c r="P419" s="11">
        <v>251</v>
      </c>
      <c r="Q419" s="7"/>
      <c r="R419" s="1"/>
    </row>
    <row r="420" spans="1:18" ht="68">
      <c r="A420" s="1"/>
      <c r="B420" s="6"/>
      <c r="C420" s="11">
        <f>SUBTOTAL(103,$D$4:D420)</f>
        <v>417</v>
      </c>
      <c r="D420" s="9" t="s">
        <v>1415</v>
      </c>
      <c r="E420" s="12" t="s">
        <v>1009</v>
      </c>
      <c r="F420" s="10" t="s">
        <v>8</v>
      </c>
      <c r="G420" s="10" t="s">
        <v>54</v>
      </c>
      <c r="H420" s="80" t="s">
        <v>10</v>
      </c>
      <c r="I420" s="12" t="s">
        <v>55</v>
      </c>
      <c r="J420" s="12" t="s">
        <v>9</v>
      </c>
      <c r="K420" s="10" t="s">
        <v>54</v>
      </c>
      <c r="L420" s="81" t="s">
        <v>177</v>
      </c>
      <c r="M420" s="10" t="s">
        <v>54</v>
      </c>
      <c r="N420" s="81" t="s">
        <v>177</v>
      </c>
      <c r="O420" s="9"/>
      <c r="P420" s="11">
        <v>252</v>
      </c>
      <c r="Q420" s="7"/>
      <c r="R420" s="1"/>
    </row>
    <row r="421" spans="1:18" ht="85">
      <c r="A421" s="1"/>
      <c r="B421" s="6"/>
      <c r="C421" s="11">
        <f>SUBTOTAL(103,$D$4:D421)</f>
        <v>418</v>
      </c>
      <c r="D421" s="9" t="s">
        <v>1415</v>
      </c>
      <c r="E421" s="12" t="s">
        <v>1010</v>
      </c>
      <c r="F421" s="10" t="s">
        <v>8</v>
      </c>
      <c r="G421" s="12" t="s">
        <v>55</v>
      </c>
      <c r="H421" s="80" t="s">
        <v>10</v>
      </c>
      <c r="I421" s="10" t="s">
        <v>54</v>
      </c>
      <c r="J421" s="12" t="s">
        <v>9</v>
      </c>
      <c r="K421" s="10" t="s">
        <v>54</v>
      </c>
      <c r="L421" s="81" t="s">
        <v>177</v>
      </c>
      <c r="M421" s="10" t="s">
        <v>54</v>
      </c>
      <c r="N421" s="81" t="s">
        <v>177</v>
      </c>
      <c r="O421" s="9"/>
      <c r="P421" s="11">
        <v>253</v>
      </c>
      <c r="Q421" s="7"/>
      <c r="R421" s="1"/>
    </row>
    <row r="422" spans="1:18" ht="68">
      <c r="A422" s="1"/>
      <c r="B422" s="6"/>
      <c r="C422" s="11">
        <f>SUBTOTAL(103,$D$4:D422)</f>
        <v>419</v>
      </c>
      <c r="D422" s="9" t="s">
        <v>1415</v>
      </c>
      <c r="E422" s="12" t="s">
        <v>1011</v>
      </c>
      <c r="F422" s="10" t="s">
        <v>8</v>
      </c>
      <c r="G422" s="10" t="s">
        <v>54</v>
      </c>
      <c r="H422" s="80" t="s">
        <v>10</v>
      </c>
      <c r="I422" s="12" t="s">
        <v>55</v>
      </c>
      <c r="J422" s="12" t="s">
        <v>9</v>
      </c>
      <c r="K422" s="10" t="s">
        <v>54</v>
      </c>
      <c r="L422" s="81" t="s">
        <v>177</v>
      </c>
      <c r="M422" s="10" t="s">
        <v>54</v>
      </c>
      <c r="N422" s="81" t="s">
        <v>177</v>
      </c>
      <c r="O422" s="9"/>
      <c r="P422" s="11">
        <v>254</v>
      </c>
      <c r="Q422" s="7"/>
      <c r="R422" s="1"/>
    </row>
    <row r="423" spans="1:18" ht="204">
      <c r="A423" s="1"/>
      <c r="B423" s="6"/>
      <c r="C423" s="11">
        <f>SUBTOTAL(103,$D$4:D423)</f>
        <v>420</v>
      </c>
      <c r="D423" s="9" t="s">
        <v>1415</v>
      </c>
      <c r="E423" s="12" t="s">
        <v>1012</v>
      </c>
      <c r="F423" s="93" t="s">
        <v>12</v>
      </c>
      <c r="G423" s="10" t="s">
        <v>54</v>
      </c>
      <c r="H423" s="81" t="s">
        <v>1013</v>
      </c>
      <c r="I423" s="10" t="s">
        <v>54</v>
      </c>
      <c r="J423" s="81" t="s">
        <v>1014</v>
      </c>
      <c r="K423" s="12" t="s">
        <v>55</v>
      </c>
      <c r="L423" s="81" t="s">
        <v>1015</v>
      </c>
      <c r="M423" s="12" t="s">
        <v>55</v>
      </c>
      <c r="N423" s="81" t="s">
        <v>1016</v>
      </c>
      <c r="O423" s="9"/>
      <c r="P423" s="11">
        <v>255</v>
      </c>
      <c r="Q423" s="7"/>
      <c r="R423" s="1"/>
    </row>
    <row r="424" spans="1:18" ht="204">
      <c r="A424" s="1"/>
      <c r="B424" s="6"/>
      <c r="C424" s="11">
        <f>SUBTOTAL(103,$D$4:D424)</f>
        <v>421</v>
      </c>
      <c r="D424" s="9" t="s">
        <v>1415</v>
      </c>
      <c r="E424" s="12" t="s">
        <v>1017</v>
      </c>
      <c r="F424" s="10" t="s">
        <v>12</v>
      </c>
      <c r="G424" s="10" t="s">
        <v>54</v>
      </c>
      <c r="H424" s="81" t="s">
        <v>1018</v>
      </c>
      <c r="I424" s="10" t="s">
        <v>54</v>
      </c>
      <c r="J424" s="81" t="s">
        <v>1019</v>
      </c>
      <c r="K424" s="12" t="s">
        <v>55</v>
      </c>
      <c r="L424" s="81" t="s">
        <v>1020</v>
      </c>
      <c r="M424" s="12" t="s">
        <v>55</v>
      </c>
      <c r="N424" s="81" t="s">
        <v>1021</v>
      </c>
      <c r="O424" s="9"/>
      <c r="P424" s="11">
        <v>256</v>
      </c>
      <c r="Q424" s="7"/>
      <c r="R424" s="1"/>
    </row>
    <row r="425" spans="1:18" ht="119">
      <c r="A425" s="1"/>
      <c r="B425" s="6"/>
      <c r="C425" s="11">
        <f>SUBTOTAL(103,$D$4:D425)</f>
        <v>422</v>
      </c>
      <c r="D425" s="9" t="s">
        <v>1415</v>
      </c>
      <c r="E425" s="12" t="s">
        <v>1022</v>
      </c>
      <c r="F425" s="93" t="s">
        <v>12</v>
      </c>
      <c r="G425" s="12" t="s">
        <v>55</v>
      </c>
      <c r="H425" s="81" t="s">
        <v>1023</v>
      </c>
      <c r="I425" s="12" t="s">
        <v>55</v>
      </c>
      <c r="J425" s="81" t="s">
        <v>1024</v>
      </c>
      <c r="K425" s="12" t="s">
        <v>55</v>
      </c>
      <c r="L425" s="81" t="s">
        <v>1025</v>
      </c>
      <c r="M425" s="12" t="s">
        <v>55</v>
      </c>
      <c r="N425" s="81" t="s">
        <v>1026</v>
      </c>
      <c r="O425" s="9"/>
      <c r="P425" s="11">
        <v>257</v>
      </c>
      <c r="Q425" s="7"/>
      <c r="R425" s="1"/>
    </row>
    <row r="426" spans="1:18" ht="102">
      <c r="A426" s="1"/>
      <c r="B426" s="6"/>
      <c r="C426" s="11">
        <f>SUBTOTAL(103,$D$4:D426)</f>
        <v>423</v>
      </c>
      <c r="D426" s="9" t="s">
        <v>1415</v>
      </c>
      <c r="E426" s="12" t="s">
        <v>2288</v>
      </c>
      <c r="F426" s="10" t="s">
        <v>8</v>
      </c>
      <c r="G426" s="12" t="s">
        <v>55</v>
      </c>
      <c r="H426" s="80" t="s">
        <v>10</v>
      </c>
      <c r="I426" s="10" t="s">
        <v>54</v>
      </c>
      <c r="J426" s="12" t="s">
        <v>9</v>
      </c>
      <c r="K426" s="10" t="s">
        <v>54</v>
      </c>
      <c r="L426" s="81" t="s">
        <v>177</v>
      </c>
      <c r="M426" s="10" t="s">
        <v>54</v>
      </c>
      <c r="N426" s="81" t="s">
        <v>177</v>
      </c>
      <c r="O426" s="9"/>
      <c r="P426" s="11">
        <v>258</v>
      </c>
      <c r="Q426" s="7"/>
      <c r="R426" s="1"/>
    </row>
    <row r="427" spans="1:18" ht="51">
      <c r="A427" s="1"/>
      <c r="B427" s="6"/>
      <c r="C427" s="11">
        <f>SUBTOTAL(103,$D$4:D427)</f>
        <v>424</v>
      </c>
      <c r="D427" s="9" t="s">
        <v>1415</v>
      </c>
      <c r="E427" s="12" t="s">
        <v>2289</v>
      </c>
      <c r="F427" s="93" t="s">
        <v>8</v>
      </c>
      <c r="G427" s="12" t="s">
        <v>55</v>
      </c>
      <c r="H427" s="80" t="s">
        <v>10</v>
      </c>
      <c r="I427" s="10" t="s">
        <v>54</v>
      </c>
      <c r="J427" s="12" t="s">
        <v>9</v>
      </c>
      <c r="K427" s="10" t="s">
        <v>54</v>
      </c>
      <c r="L427" s="81" t="s">
        <v>177</v>
      </c>
      <c r="M427" s="10" t="s">
        <v>54</v>
      </c>
      <c r="N427" s="81" t="s">
        <v>177</v>
      </c>
      <c r="O427" s="9"/>
      <c r="P427" s="11">
        <v>259</v>
      </c>
      <c r="Q427" s="7"/>
      <c r="R427" s="1"/>
    </row>
    <row r="428" spans="1:18" ht="68">
      <c r="A428" s="1"/>
      <c r="B428" s="6"/>
      <c r="C428" s="11">
        <f>SUBTOTAL(103,$D$4:D428)</f>
        <v>425</v>
      </c>
      <c r="D428" s="9" t="s">
        <v>1415</v>
      </c>
      <c r="E428" s="12" t="s">
        <v>1903</v>
      </c>
      <c r="F428" s="93" t="s">
        <v>8</v>
      </c>
      <c r="G428" s="10" t="s">
        <v>54</v>
      </c>
      <c r="H428" s="80" t="s">
        <v>10</v>
      </c>
      <c r="I428" s="12" t="s">
        <v>55</v>
      </c>
      <c r="J428" s="12" t="s">
        <v>9</v>
      </c>
      <c r="K428" s="10" t="s">
        <v>54</v>
      </c>
      <c r="L428" s="81" t="s">
        <v>177</v>
      </c>
      <c r="M428" s="10" t="s">
        <v>54</v>
      </c>
      <c r="N428" s="81" t="s">
        <v>177</v>
      </c>
      <c r="O428" s="9"/>
      <c r="P428" s="11"/>
      <c r="Q428" s="7"/>
      <c r="R428" s="1"/>
    </row>
    <row r="429" spans="1:18" ht="85">
      <c r="A429" s="1"/>
      <c r="B429" s="6"/>
      <c r="C429" s="11">
        <f>SUBTOTAL(103,$D$4:D429)</f>
        <v>426</v>
      </c>
      <c r="D429" s="9" t="s">
        <v>1415</v>
      </c>
      <c r="E429" s="12" t="s">
        <v>1027</v>
      </c>
      <c r="F429" s="93" t="s">
        <v>8</v>
      </c>
      <c r="G429" s="12" t="s">
        <v>55</v>
      </c>
      <c r="H429" s="80" t="s">
        <v>10</v>
      </c>
      <c r="I429" s="10" t="s">
        <v>54</v>
      </c>
      <c r="J429" s="12" t="s">
        <v>9</v>
      </c>
      <c r="K429" s="10" t="s">
        <v>54</v>
      </c>
      <c r="L429" s="81" t="s">
        <v>177</v>
      </c>
      <c r="M429" s="10" t="s">
        <v>54</v>
      </c>
      <c r="N429" s="81" t="s">
        <v>177</v>
      </c>
      <c r="O429" s="9"/>
      <c r="P429" s="11">
        <v>260</v>
      </c>
      <c r="Q429" s="7"/>
      <c r="R429" s="1"/>
    </row>
    <row r="430" spans="1:18" ht="170">
      <c r="A430" s="1"/>
      <c r="B430" s="6"/>
      <c r="C430" s="11">
        <f>SUBTOTAL(103,$D$4:D430)</f>
        <v>427</v>
      </c>
      <c r="D430" s="9" t="s">
        <v>1415</v>
      </c>
      <c r="E430" s="12" t="s">
        <v>1028</v>
      </c>
      <c r="F430" s="10" t="s">
        <v>22</v>
      </c>
      <c r="G430" s="10" t="s">
        <v>54</v>
      </c>
      <c r="H430" s="81" t="s">
        <v>1029</v>
      </c>
      <c r="I430" s="12" t="s">
        <v>55</v>
      </c>
      <c r="J430" s="81" t="s">
        <v>1030</v>
      </c>
      <c r="K430" s="10" t="s">
        <v>54</v>
      </c>
      <c r="L430" s="81" t="s">
        <v>1031</v>
      </c>
      <c r="M430" s="10" t="s">
        <v>54</v>
      </c>
      <c r="N430" s="81" t="s">
        <v>1032</v>
      </c>
      <c r="O430" s="9"/>
      <c r="P430" s="11">
        <v>261</v>
      </c>
      <c r="Q430" s="7"/>
      <c r="R430" s="1"/>
    </row>
    <row r="431" spans="1:18" ht="356">
      <c r="A431" s="1"/>
      <c r="B431" s="6"/>
      <c r="C431" s="11">
        <f>SUBTOTAL(103,$D$4:D431)</f>
        <v>428</v>
      </c>
      <c r="D431" s="9" t="s">
        <v>1415</v>
      </c>
      <c r="E431" s="12" t="s">
        <v>1033</v>
      </c>
      <c r="F431" s="10" t="s">
        <v>22</v>
      </c>
      <c r="G431" s="10" t="s">
        <v>54</v>
      </c>
      <c r="H431" s="81" t="s">
        <v>1034</v>
      </c>
      <c r="I431" s="12" t="s">
        <v>55</v>
      </c>
      <c r="J431" s="81" t="s">
        <v>1035</v>
      </c>
      <c r="K431" s="10" t="s">
        <v>54</v>
      </c>
      <c r="L431" s="81" t="s">
        <v>1036</v>
      </c>
      <c r="M431" s="10" t="s">
        <v>54</v>
      </c>
      <c r="N431" s="81" t="s">
        <v>1037</v>
      </c>
      <c r="O431" s="9"/>
      <c r="P431" s="11">
        <v>262</v>
      </c>
      <c r="Q431" s="7"/>
      <c r="R431" s="1"/>
    </row>
    <row r="432" spans="1:18" ht="323">
      <c r="A432" s="1"/>
      <c r="B432" s="6"/>
      <c r="C432" s="11">
        <f>SUBTOTAL(103,$D$4:D432)</f>
        <v>429</v>
      </c>
      <c r="D432" s="9" t="s">
        <v>1415</v>
      </c>
      <c r="E432" s="12" t="s">
        <v>1028</v>
      </c>
      <c r="F432" s="10" t="s">
        <v>22</v>
      </c>
      <c r="G432" s="10" t="s">
        <v>54</v>
      </c>
      <c r="H432" s="81" t="s">
        <v>1038</v>
      </c>
      <c r="I432" s="10" t="s">
        <v>54</v>
      </c>
      <c r="J432" s="81" t="s">
        <v>1039</v>
      </c>
      <c r="K432" s="10" t="s">
        <v>54</v>
      </c>
      <c r="L432" s="81" t="s">
        <v>1040</v>
      </c>
      <c r="M432" s="12" t="s">
        <v>55</v>
      </c>
      <c r="N432" s="81" t="s">
        <v>67</v>
      </c>
      <c r="O432" s="9"/>
      <c r="P432" s="11">
        <v>263</v>
      </c>
      <c r="Q432" s="7"/>
      <c r="R432" s="1"/>
    </row>
    <row r="433" spans="1:18" ht="68">
      <c r="A433" s="1"/>
      <c r="B433" s="6"/>
      <c r="C433" s="11">
        <f>SUBTOTAL(103,$D$4:D433)</f>
        <v>430</v>
      </c>
      <c r="D433" s="9" t="s">
        <v>1415</v>
      </c>
      <c r="E433" s="12" t="s">
        <v>1522</v>
      </c>
      <c r="F433" s="10" t="s">
        <v>12</v>
      </c>
      <c r="G433" s="12" t="s">
        <v>55</v>
      </c>
      <c r="H433" s="80" t="s">
        <v>1523</v>
      </c>
      <c r="I433" s="12" t="s">
        <v>55</v>
      </c>
      <c r="J433" s="12" t="s">
        <v>1524</v>
      </c>
      <c r="K433" s="10" t="s">
        <v>54</v>
      </c>
      <c r="L433" s="12" t="s">
        <v>1525</v>
      </c>
      <c r="M433" s="12" t="s">
        <v>55</v>
      </c>
      <c r="N433" s="12" t="s">
        <v>1526</v>
      </c>
      <c r="O433" s="9"/>
      <c r="P433" s="9"/>
      <c r="Q433" s="7"/>
      <c r="R433" s="1"/>
    </row>
    <row r="434" spans="1:18" ht="221">
      <c r="A434" s="1"/>
      <c r="B434" s="6"/>
      <c r="C434" s="11">
        <f>SUBTOTAL(103,$D$4:D434)</f>
        <v>431</v>
      </c>
      <c r="D434" s="9" t="s">
        <v>1415</v>
      </c>
      <c r="E434" s="12" t="s">
        <v>1527</v>
      </c>
      <c r="F434" s="10" t="s">
        <v>22</v>
      </c>
      <c r="G434" s="10" t="s">
        <v>54</v>
      </c>
      <c r="H434" s="80" t="s">
        <v>1528</v>
      </c>
      <c r="I434" s="12" t="s">
        <v>55</v>
      </c>
      <c r="J434" s="12" t="s">
        <v>1529</v>
      </c>
      <c r="K434" s="10" t="s">
        <v>54</v>
      </c>
      <c r="L434" s="12" t="s">
        <v>1530</v>
      </c>
      <c r="M434" s="10" t="s">
        <v>54</v>
      </c>
      <c r="N434" s="12" t="s">
        <v>1531</v>
      </c>
      <c r="O434" s="9"/>
      <c r="P434" s="9"/>
      <c r="Q434" s="7"/>
      <c r="R434" s="1"/>
    </row>
    <row r="435" spans="1:18" ht="170">
      <c r="A435" s="1"/>
      <c r="B435" s="6"/>
      <c r="C435" s="11">
        <f>SUBTOTAL(103,$D$4:D435)</f>
        <v>432</v>
      </c>
      <c r="D435" s="9" t="s">
        <v>1415</v>
      </c>
      <c r="E435" s="12" t="s">
        <v>1532</v>
      </c>
      <c r="F435" s="10" t="s">
        <v>22</v>
      </c>
      <c r="G435" s="10" t="s">
        <v>54</v>
      </c>
      <c r="H435" s="80" t="s">
        <v>1533</v>
      </c>
      <c r="I435" s="10" t="s">
        <v>54</v>
      </c>
      <c r="J435" s="12" t="s">
        <v>1534</v>
      </c>
      <c r="K435" s="10" t="s">
        <v>54</v>
      </c>
      <c r="L435" s="12" t="s">
        <v>1535</v>
      </c>
      <c r="M435" s="12" t="s">
        <v>55</v>
      </c>
      <c r="N435" s="12" t="s">
        <v>67</v>
      </c>
      <c r="O435" s="9"/>
      <c r="P435" s="9"/>
      <c r="Q435" s="7"/>
      <c r="R435" s="1"/>
    </row>
    <row r="436" spans="1:18" ht="34">
      <c r="A436" s="1"/>
      <c r="B436" s="6"/>
      <c r="C436" s="11">
        <f>SUBTOTAL(103,$D$4:D436)</f>
        <v>433</v>
      </c>
      <c r="D436" s="9" t="s">
        <v>1415</v>
      </c>
      <c r="E436" s="12" t="s">
        <v>2170</v>
      </c>
      <c r="F436" s="89" t="s">
        <v>22</v>
      </c>
      <c r="G436" s="10" t="s">
        <v>54</v>
      </c>
      <c r="H436" s="81" t="s">
        <v>2174</v>
      </c>
      <c r="I436" s="94" t="s">
        <v>55</v>
      </c>
      <c r="J436" s="81" t="s">
        <v>2173</v>
      </c>
      <c r="K436" s="10" t="s">
        <v>54</v>
      </c>
      <c r="L436" s="81" t="s">
        <v>2175</v>
      </c>
      <c r="M436" s="10" t="s">
        <v>54</v>
      </c>
      <c r="N436" s="81" t="s">
        <v>2176</v>
      </c>
      <c r="O436" s="9"/>
      <c r="P436" s="104" t="s">
        <v>2437</v>
      </c>
      <c r="Q436" s="7"/>
      <c r="R436" s="1"/>
    </row>
    <row r="437" spans="1:18" ht="102">
      <c r="A437" s="1"/>
      <c r="B437" s="6"/>
      <c r="C437" s="11">
        <f>SUBTOTAL(103,$D$4:D437)</f>
        <v>434</v>
      </c>
      <c r="D437" s="9" t="s">
        <v>1415</v>
      </c>
      <c r="E437" s="12" t="s">
        <v>2181</v>
      </c>
      <c r="F437" s="89" t="s">
        <v>22</v>
      </c>
      <c r="G437" s="10" t="s">
        <v>54</v>
      </c>
      <c r="H437" s="81" t="s">
        <v>2182</v>
      </c>
      <c r="I437" s="10" t="s">
        <v>54</v>
      </c>
      <c r="J437" s="81" t="s">
        <v>2183</v>
      </c>
      <c r="K437" s="12" t="s">
        <v>55</v>
      </c>
      <c r="L437" s="81" t="s">
        <v>2246</v>
      </c>
      <c r="M437" s="10" t="s">
        <v>54</v>
      </c>
      <c r="N437" s="81" t="s">
        <v>2184</v>
      </c>
      <c r="O437" s="9"/>
      <c r="P437" s="104" t="s">
        <v>2437</v>
      </c>
      <c r="Q437" s="7"/>
      <c r="R437" s="1"/>
    </row>
    <row r="438" spans="1:18" ht="68">
      <c r="A438" s="1"/>
      <c r="B438" s="6"/>
      <c r="C438" s="11">
        <f>SUBTOTAL(103,$D$4:D438)</f>
        <v>435</v>
      </c>
      <c r="D438" s="9" t="s">
        <v>1415</v>
      </c>
      <c r="E438" s="12" t="s">
        <v>2247</v>
      </c>
      <c r="F438" s="89" t="s">
        <v>22</v>
      </c>
      <c r="G438" s="94" t="s">
        <v>55</v>
      </c>
      <c r="H438" s="81" t="s">
        <v>2177</v>
      </c>
      <c r="I438" s="10" t="s">
        <v>54</v>
      </c>
      <c r="J438" s="81" t="s">
        <v>2178</v>
      </c>
      <c r="K438" s="10" t="s">
        <v>54</v>
      </c>
      <c r="L438" s="81" t="s">
        <v>2179</v>
      </c>
      <c r="M438" s="10" t="s">
        <v>54</v>
      </c>
      <c r="N438" s="81" t="s">
        <v>2180</v>
      </c>
      <c r="O438" s="9"/>
      <c r="P438" s="104" t="s">
        <v>2437</v>
      </c>
      <c r="Q438" s="7"/>
      <c r="R438" s="1"/>
    </row>
    <row r="439" spans="1:18" ht="51">
      <c r="A439" s="1"/>
      <c r="B439" s="6"/>
      <c r="C439" s="11">
        <f>SUBTOTAL(103,$D$4:D439)</f>
        <v>436</v>
      </c>
      <c r="D439" s="9" t="s">
        <v>1415</v>
      </c>
      <c r="E439" s="12" t="s">
        <v>2295</v>
      </c>
      <c r="F439" s="10" t="s">
        <v>22</v>
      </c>
      <c r="G439" s="10" t="s">
        <v>54</v>
      </c>
      <c r="H439" s="80" t="s">
        <v>2296</v>
      </c>
      <c r="I439" s="10" t="s">
        <v>54</v>
      </c>
      <c r="J439" s="12" t="s">
        <v>2297</v>
      </c>
      <c r="K439" s="10" t="s">
        <v>54</v>
      </c>
      <c r="L439" s="81" t="s">
        <v>2298</v>
      </c>
      <c r="M439" s="12" t="s">
        <v>55</v>
      </c>
      <c r="N439" s="80" t="s">
        <v>67</v>
      </c>
      <c r="O439" s="9"/>
      <c r="P439" s="9"/>
      <c r="Q439" s="7"/>
      <c r="R439" s="1"/>
    </row>
    <row r="440" spans="1:18" ht="170">
      <c r="A440" s="1"/>
      <c r="B440" s="6"/>
      <c r="C440" s="11">
        <f>SUBTOTAL(103,$D$4:D440)</f>
        <v>437</v>
      </c>
      <c r="D440" s="9" t="s">
        <v>1415</v>
      </c>
      <c r="E440" s="12" t="s">
        <v>2299</v>
      </c>
      <c r="F440" s="10" t="s">
        <v>22</v>
      </c>
      <c r="G440" s="10" t="s">
        <v>54</v>
      </c>
      <c r="H440" s="80" t="s">
        <v>2300</v>
      </c>
      <c r="I440" s="12" t="s">
        <v>55</v>
      </c>
      <c r="J440" s="12" t="s">
        <v>2301</v>
      </c>
      <c r="K440" s="10" t="s">
        <v>54</v>
      </c>
      <c r="L440" s="81" t="s">
        <v>2302</v>
      </c>
      <c r="M440" s="10" t="s">
        <v>54</v>
      </c>
      <c r="N440" s="80" t="s">
        <v>2303</v>
      </c>
      <c r="O440" s="9"/>
      <c r="P440" s="9"/>
      <c r="Q440" s="7"/>
      <c r="R440" s="1"/>
    </row>
    <row r="441" spans="1:18" ht="51">
      <c r="A441" s="1"/>
      <c r="B441" s="6"/>
      <c r="C441" s="11">
        <f>SUBTOTAL(103,$D$4:D441)</f>
        <v>438</v>
      </c>
      <c r="D441" s="9" t="s">
        <v>1415</v>
      </c>
      <c r="E441" s="12" t="s">
        <v>2304</v>
      </c>
      <c r="F441" s="10" t="s">
        <v>12</v>
      </c>
      <c r="G441" s="12" t="s">
        <v>55</v>
      </c>
      <c r="H441" s="80" t="s">
        <v>2305</v>
      </c>
      <c r="I441" s="12" t="s">
        <v>55</v>
      </c>
      <c r="J441" s="12" t="s">
        <v>2306</v>
      </c>
      <c r="K441" s="12" t="s">
        <v>55</v>
      </c>
      <c r="L441" s="81" t="s">
        <v>2307</v>
      </c>
      <c r="M441" s="12" t="s">
        <v>55</v>
      </c>
      <c r="N441" s="80" t="s">
        <v>2308</v>
      </c>
      <c r="O441" s="9"/>
      <c r="P441" s="9"/>
      <c r="Q441" s="7"/>
      <c r="R441" s="1"/>
    </row>
    <row r="442" spans="1:18" ht="51">
      <c r="A442" s="1"/>
      <c r="B442" s="6"/>
      <c r="C442" s="11">
        <f>SUBTOTAL(103,$D$4:D442)</f>
        <v>439</v>
      </c>
      <c r="D442" s="9" t="s">
        <v>1415</v>
      </c>
      <c r="E442" s="12" t="s">
        <v>2309</v>
      </c>
      <c r="F442" s="10" t="s">
        <v>8</v>
      </c>
      <c r="G442" s="10" t="s">
        <v>54</v>
      </c>
      <c r="H442" s="80" t="s">
        <v>10</v>
      </c>
      <c r="I442" s="12" t="s">
        <v>55</v>
      </c>
      <c r="J442" s="12" t="s">
        <v>9</v>
      </c>
      <c r="K442" s="10" t="s">
        <v>54</v>
      </c>
      <c r="L442" s="81" t="s">
        <v>177</v>
      </c>
      <c r="M442" s="10" t="s">
        <v>54</v>
      </c>
      <c r="N442" s="81" t="s">
        <v>177</v>
      </c>
      <c r="O442" s="9"/>
      <c r="P442" s="9"/>
      <c r="Q442" s="7"/>
      <c r="R442" s="1"/>
    </row>
    <row r="443" spans="1:18" ht="34">
      <c r="A443" s="1"/>
      <c r="B443" s="6"/>
      <c r="C443" s="11">
        <f>SUBTOTAL(103,$D$4:D443)</f>
        <v>440</v>
      </c>
      <c r="D443" s="9" t="s">
        <v>1415</v>
      </c>
      <c r="E443" s="12" t="s">
        <v>2310</v>
      </c>
      <c r="F443" s="10" t="s">
        <v>8</v>
      </c>
      <c r="G443" s="10" t="s">
        <v>54</v>
      </c>
      <c r="H443" s="80" t="s">
        <v>10</v>
      </c>
      <c r="I443" s="12" t="s">
        <v>55</v>
      </c>
      <c r="J443" s="12" t="s">
        <v>9</v>
      </c>
      <c r="K443" s="10" t="s">
        <v>54</v>
      </c>
      <c r="L443" s="81" t="s">
        <v>177</v>
      </c>
      <c r="M443" s="10" t="s">
        <v>54</v>
      </c>
      <c r="N443" s="81" t="s">
        <v>177</v>
      </c>
      <c r="O443" s="9"/>
      <c r="P443" s="9"/>
      <c r="Q443" s="7"/>
      <c r="R443" s="1"/>
    </row>
    <row r="444" spans="1:18" ht="34">
      <c r="A444" s="1"/>
      <c r="B444" s="6"/>
      <c r="C444" s="11">
        <f>SUBTOTAL(103,$D$4:D444)</f>
        <v>441</v>
      </c>
      <c r="D444" s="9" t="s">
        <v>1416</v>
      </c>
      <c r="E444" s="12" t="s">
        <v>1041</v>
      </c>
      <c r="F444" s="10" t="s">
        <v>8</v>
      </c>
      <c r="G444" s="12" t="s">
        <v>55</v>
      </c>
      <c r="H444" s="80" t="s">
        <v>10</v>
      </c>
      <c r="I444" s="10" t="s">
        <v>54</v>
      </c>
      <c r="J444" s="12" t="s">
        <v>9</v>
      </c>
      <c r="K444" s="10" t="s">
        <v>54</v>
      </c>
      <c r="L444" s="81" t="s">
        <v>177</v>
      </c>
      <c r="M444" s="10" t="s">
        <v>54</v>
      </c>
      <c r="N444" s="81" t="s">
        <v>177</v>
      </c>
      <c r="O444" s="9"/>
      <c r="P444" s="11">
        <v>264</v>
      </c>
      <c r="Q444" s="7"/>
      <c r="R444" s="1"/>
    </row>
    <row r="445" spans="1:18" ht="34">
      <c r="A445" s="1"/>
      <c r="B445" s="6"/>
      <c r="C445" s="11">
        <f>SUBTOTAL(103,$D$4:D445)</f>
        <v>442</v>
      </c>
      <c r="D445" s="9" t="s">
        <v>1416</v>
      </c>
      <c r="E445" s="12" t="s">
        <v>1042</v>
      </c>
      <c r="F445" s="10" t="s">
        <v>8</v>
      </c>
      <c r="G445" s="10" t="s">
        <v>54</v>
      </c>
      <c r="H445" s="80" t="s">
        <v>10</v>
      </c>
      <c r="I445" s="12" t="s">
        <v>55</v>
      </c>
      <c r="J445" s="12" t="s">
        <v>9</v>
      </c>
      <c r="K445" s="10" t="s">
        <v>54</v>
      </c>
      <c r="L445" s="81" t="s">
        <v>177</v>
      </c>
      <c r="M445" s="10" t="s">
        <v>54</v>
      </c>
      <c r="N445" s="81" t="s">
        <v>177</v>
      </c>
      <c r="O445" s="9"/>
      <c r="P445" s="11">
        <v>265</v>
      </c>
      <c r="Q445" s="7"/>
      <c r="R445" s="1"/>
    </row>
    <row r="446" spans="1:18" ht="34">
      <c r="A446" s="1"/>
      <c r="B446" s="6"/>
      <c r="C446" s="11">
        <f>SUBTOTAL(103,$D$4:D446)</f>
        <v>443</v>
      </c>
      <c r="D446" s="9" t="s">
        <v>1416</v>
      </c>
      <c r="E446" s="12" t="s">
        <v>1043</v>
      </c>
      <c r="F446" s="10" t="s">
        <v>8</v>
      </c>
      <c r="G446" s="12" t="s">
        <v>55</v>
      </c>
      <c r="H446" s="80" t="s">
        <v>10</v>
      </c>
      <c r="I446" s="10" t="s">
        <v>54</v>
      </c>
      <c r="J446" s="12" t="s">
        <v>9</v>
      </c>
      <c r="K446" s="10" t="s">
        <v>54</v>
      </c>
      <c r="L446" s="81" t="s">
        <v>177</v>
      </c>
      <c r="M446" s="10" t="s">
        <v>54</v>
      </c>
      <c r="N446" s="81" t="s">
        <v>177</v>
      </c>
      <c r="O446" s="9"/>
      <c r="P446" s="11">
        <v>266</v>
      </c>
      <c r="Q446" s="7"/>
      <c r="R446" s="1"/>
    </row>
    <row r="447" spans="1:18" ht="136">
      <c r="A447" s="1"/>
      <c r="B447" s="6"/>
      <c r="C447" s="11">
        <f>SUBTOTAL(103,$D$4:D447)</f>
        <v>444</v>
      </c>
      <c r="D447" s="9" t="s">
        <v>1416</v>
      </c>
      <c r="E447" s="12" t="s">
        <v>1044</v>
      </c>
      <c r="F447" s="10" t="s">
        <v>12</v>
      </c>
      <c r="G447" s="12" t="s">
        <v>55</v>
      </c>
      <c r="H447" s="81" t="s">
        <v>1045</v>
      </c>
      <c r="I447" s="10" t="s">
        <v>54</v>
      </c>
      <c r="J447" s="81" t="s">
        <v>1046</v>
      </c>
      <c r="K447" s="10" t="s">
        <v>54</v>
      </c>
      <c r="L447" s="81" t="s">
        <v>1047</v>
      </c>
      <c r="M447" s="12" t="s">
        <v>55</v>
      </c>
      <c r="N447" s="81" t="s">
        <v>1048</v>
      </c>
      <c r="O447" s="9"/>
      <c r="P447" s="11">
        <v>267</v>
      </c>
      <c r="Q447" s="7"/>
      <c r="R447" s="1"/>
    </row>
    <row r="448" spans="1:18" ht="34">
      <c r="A448" s="1"/>
      <c r="B448" s="6"/>
      <c r="C448" s="11">
        <f>SUBTOTAL(103,$D$4:D448)</f>
        <v>445</v>
      </c>
      <c r="D448" s="9" t="s">
        <v>1416</v>
      </c>
      <c r="E448" s="12" t="s">
        <v>1049</v>
      </c>
      <c r="F448" s="10" t="s">
        <v>12</v>
      </c>
      <c r="G448" s="12" t="s">
        <v>55</v>
      </c>
      <c r="H448" s="81" t="s">
        <v>1050</v>
      </c>
      <c r="I448" s="12" t="s">
        <v>55</v>
      </c>
      <c r="J448" s="81" t="s">
        <v>1051</v>
      </c>
      <c r="K448" s="10" t="s">
        <v>54</v>
      </c>
      <c r="L448" s="81" t="s">
        <v>1052</v>
      </c>
      <c r="M448" s="12" t="s">
        <v>55</v>
      </c>
      <c r="N448" s="81" t="s">
        <v>1053</v>
      </c>
      <c r="O448" s="9"/>
      <c r="P448" s="11">
        <v>268</v>
      </c>
      <c r="Q448" s="7"/>
      <c r="R448" s="1"/>
    </row>
    <row r="449" spans="1:18" ht="102">
      <c r="A449" s="1"/>
      <c r="B449" s="6"/>
      <c r="C449" s="11">
        <f>SUBTOTAL(103,$D$4:D449)</f>
        <v>446</v>
      </c>
      <c r="D449" s="9" t="s">
        <v>1416</v>
      </c>
      <c r="E449" s="12" t="s">
        <v>1054</v>
      </c>
      <c r="F449" s="10" t="s">
        <v>12</v>
      </c>
      <c r="G449" s="10" t="s">
        <v>54</v>
      </c>
      <c r="H449" s="81" t="s">
        <v>1055</v>
      </c>
      <c r="I449" s="12" t="s">
        <v>55</v>
      </c>
      <c r="J449" s="81" t="s">
        <v>1056</v>
      </c>
      <c r="K449" s="10" t="s">
        <v>54</v>
      </c>
      <c r="L449" s="81" t="s">
        <v>1057</v>
      </c>
      <c r="M449" s="12" t="s">
        <v>55</v>
      </c>
      <c r="N449" s="81" t="s">
        <v>1058</v>
      </c>
      <c r="O449" s="9"/>
      <c r="P449" s="11">
        <v>269</v>
      </c>
      <c r="Q449" s="7"/>
      <c r="R449" s="1"/>
    </row>
    <row r="450" spans="1:18" ht="85">
      <c r="A450" s="1"/>
      <c r="B450" s="6"/>
      <c r="C450" s="11">
        <f>SUBTOTAL(103,$D$4:D450)</f>
        <v>447</v>
      </c>
      <c r="D450" s="9" t="s">
        <v>1416</v>
      </c>
      <c r="E450" s="12" t="s">
        <v>1059</v>
      </c>
      <c r="F450" s="10" t="s">
        <v>12</v>
      </c>
      <c r="G450" s="12" t="s">
        <v>55</v>
      </c>
      <c r="H450" s="81" t="s">
        <v>2290</v>
      </c>
      <c r="I450" s="12" t="s">
        <v>55</v>
      </c>
      <c r="J450" s="81" t="s">
        <v>1060</v>
      </c>
      <c r="K450" s="12" t="s">
        <v>55</v>
      </c>
      <c r="L450" s="81" t="s">
        <v>1061</v>
      </c>
      <c r="M450" s="12" t="s">
        <v>55</v>
      </c>
      <c r="N450" s="81" t="s">
        <v>1062</v>
      </c>
      <c r="O450" s="9"/>
      <c r="P450" s="11">
        <v>270</v>
      </c>
      <c r="Q450" s="7"/>
      <c r="R450" s="1"/>
    </row>
    <row r="451" spans="1:18" ht="85">
      <c r="A451" s="1"/>
      <c r="B451" s="6"/>
      <c r="C451" s="11">
        <f>SUBTOTAL(103,$D$4:D451)</f>
        <v>448</v>
      </c>
      <c r="D451" s="9" t="s">
        <v>1416</v>
      </c>
      <c r="E451" s="12" t="s">
        <v>1063</v>
      </c>
      <c r="F451" s="10" t="s">
        <v>12</v>
      </c>
      <c r="G451" s="12" t="s">
        <v>55</v>
      </c>
      <c r="H451" s="81" t="s">
        <v>1064</v>
      </c>
      <c r="I451" s="10" t="s">
        <v>54</v>
      </c>
      <c r="J451" s="81" t="s">
        <v>1065</v>
      </c>
      <c r="K451" s="12" t="s">
        <v>55</v>
      </c>
      <c r="L451" s="81" t="s">
        <v>1066</v>
      </c>
      <c r="M451" s="10" t="s">
        <v>54</v>
      </c>
      <c r="N451" s="81" t="s">
        <v>1067</v>
      </c>
      <c r="O451" s="9"/>
      <c r="P451" s="11">
        <v>271</v>
      </c>
      <c r="Q451" s="7"/>
      <c r="R451" s="1"/>
    </row>
    <row r="452" spans="1:18" ht="136">
      <c r="A452" s="1"/>
      <c r="B452" s="6"/>
      <c r="C452" s="11">
        <f>SUBTOTAL(103,$D$4:D452)</f>
        <v>449</v>
      </c>
      <c r="D452" s="9" t="s">
        <v>1416</v>
      </c>
      <c r="E452" s="12" t="s">
        <v>1068</v>
      </c>
      <c r="F452" s="10" t="s">
        <v>12</v>
      </c>
      <c r="G452" s="12" t="s">
        <v>55</v>
      </c>
      <c r="H452" s="81" t="s">
        <v>1069</v>
      </c>
      <c r="I452" s="10" t="s">
        <v>54</v>
      </c>
      <c r="J452" s="81" t="s">
        <v>1070</v>
      </c>
      <c r="K452" s="12" t="s">
        <v>55</v>
      </c>
      <c r="L452" s="81" t="s">
        <v>1071</v>
      </c>
      <c r="M452" s="10" t="s">
        <v>54</v>
      </c>
      <c r="N452" s="81" t="s">
        <v>1072</v>
      </c>
      <c r="O452" s="9"/>
      <c r="P452" s="11">
        <v>272</v>
      </c>
      <c r="Q452" s="7"/>
      <c r="R452" s="1"/>
    </row>
    <row r="453" spans="1:18" ht="85">
      <c r="A453" s="1"/>
      <c r="B453" s="6"/>
      <c r="C453" s="11">
        <f>SUBTOTAL(103,$D$4:D453)</f>
        <v>450</v>
      </c>
      <c r="D453" s="9" t="s">
        <v>1416</v>
      </c>
      <c r="E453" s="12" t="s">
        <v>1073</v>
      </c>
      <c r="F453" s="10" t="s">
        <v>12</v>
      </c>
      <c r="G453" s="10" t="s">
        <v>54</v>
      </c>
      <c r="H453" s="81" t="s">
        <v>1066</v>
      </c>
      <c r="I453" s="10" t="s">
        <v>54</v>
      </c>
      <c r="J453" s="81" t="s">
        <v>1074</v>
      </c>
      <c r="K453" s="12" t="s">
        <v>55</v>
      </c>
      <c r="L453" s="81" t="s">
        <v>1075</v>
      </c>
      <c r="M453" s="12" t="s">
        <v>55</v>
      </c>
      <c r="N453" s="81" t="s">
        <v>1076</v>
      </c>
      <c r="O453" s="9"/>
      <c r="P453" s="11">
        <v>273</v>
      </c>
      <c r="Q453" s="7"/>
      <c r="R453" s="1"/>
    </row>
    <row r="454" spans="1:18" ht="102">
      <c r="A454" s="1"/>
      <c r="B454" s="6"/>
      <c r="C454" s="11">
        <f>SUBTOTAL(103,$D$4:D454)</f>
        <v>451</v>
      </c>
      <c r="D454" s="9" t="s">
        <v>1416</v>
      </c>
      <c r="E454" s="12" t="s">
        <v>1077</v>
      </c>
      <c r="F454" s="10" t="s">
        <v>12</v>
      </c>
      <c r="G454" s="10" t="s">
        <v>54</v>
      </c>
      <c r="H454" s="81" t="s">
        <v>1078</v>
      </c>
      <c r="I454" s="12" t="s">
        <v>55</v>
      </c>
      <c r="J454" s="81" t="s">
        <v>1079</v>
      </c>
      <c r="K454" s="12" t="s">
        <v>55</v>
      </c>
      <c r="L454" s="81" t="s">
        <v>1080</v>
      </c>
      <c r="M454" s="12" t="s">
        <v>55</v>
      </c>
      <c r="N454" s="81" t="s">
        <v>1070</v>
      </c>
      <c r="O454" s="9"/>
      <c r="P454" s="11">
        <v>274</v>
      </c>
      <c r="Q454" s="7"/>
      <c r="R454" s="1"/>
    </row>
    <row r="455" spans="1:18" ht="34">
      <c r="A455" s="1"/>
      <c r="B455" s="6"/>
      <c r="C455" s="11">
        <f>SUBTOTAL(103,$D$4:D455)</f>
        <v>452</v>
      </c>
      <c r="D455" s="9" t="s">
        <v>1416</v>
      </c>
      <c r="E455" s="12" t="s">
        <v>1081</v>
      </c>
      <c r="F455" s="10" t="s">
        <v>12</v>
      </c>
      <c r="G455" s="12" t="s">
        <v>55</v>
      </c>
      <c r="H455" s="81" t="s">
        <v>1082</v>
      </c>
      <c r="I455" s="10" t="s">
        <v>54</v>
      </c>
      <c r="J455" s="81" t="s">
        <v>1083</v>
      </c>
      <c r="K455" s="12" t="s">
        <v>55</v>
      </c>
      <c r="L455" s="81" t="s">
        <v>1084</v>
      </c>
      <c r="M455" s="12" t="s">
        <v>55</v>
      </c>
      <c r="N455" s="81" t="s">
        <v>1085</v>
      </c>
      <c r="O455" s="9"/>
      <c r="P455" s="11">
        <v>275</v>
      </c>
      <c r="Q455" s="7"/>
      <c r="R455" s="1"/>
    </row>
    <row r="456" spans="1:18" ht="68">
      <c r="A456" s="1"/>
      <c r="B456" s="6"/>
      <c r="C456" s="11">
        <f>SUBTOTAL(103,$D$4:D456)</f>
        <v>453</v>
      </c>
      <c r="D456" s="9" t="s">
        <v>1416</v>
      </c>
      <c r="E456" s="12" t="s">
        <v>1086</v>
      </c>
      <c r="F456" s="10" t="s">
        <v>22</v>
      </c>
      <c r="G456" s="10" t="s">
        <v>54</v>
      </c>
      <c r="H456" s="81" t="s">
        <v>1087</v>
      </c>
      <c r="I456" s="10" t="s">
        <v>54</v>
      </c>
      <c r="J456" s="81" t="s">
        <v>1088</v>
      </c>
      <c r="K456" s="10" t="s">
        <v>54</v>
      </c>
      <c r="L456" s="81" t="s">
        <v>1075</v>
      </c>
      <c r="M456" s="12" t="s">
        <v>55</v>
      </c>
      <c r="N456" s="81" t="s">
        <v>67</v>
      </c>
      <c r="O456" s="9"/>
      <c r="P456" s="11">
        <v>276</v>
      </c>
      <c r="Q456" s="7"/>
      <c r="R456" s="1"/>
    </row>
    <row r="457" spans="1:18" ht="68">
      <c r="A457" s="1"/>
      <c r="B457" s="6"/>
      <c r="C457" s="11">
        <f>SUBTOTAL(103,$D$4:D457)</f>
        <v>454</v>
      </c>
      <c r="D457" s="9" t="s">
        <v>1416</v>
      </c>
      <c r="E457" s="12" t="s">
        <v>1089</v>
      </c>
      <c r="F457" s="10" t="s">
        <v>22</v>
      </c>
      <c r="G457" s="10" t="s">
        <v>54</v>
      </c>
      <c r="H457" s="81" t="s">
        <v>1075</v>
      </c>
      <c r="I457" s="10" t="s">
        <v>54</v>
      </c>
      <c r="J457" s="81" t="s">
        <v>1088</v>
      </c>
      <c r="K457" s="12" t="s">
        <v>55</v>
      </c>
      <c r="L457" s="81" t="s">
        <v>1076</v>
      </c>
      <c r="M457" s="10" t="s">
        <v>54</v>
      </c>
      <c r="N457" s="81" t="s">
        <v>1090</v>
      </c>
      <c r="O457" s="9"/>
      <c r="P457" s="11">
        <v>277</v>
      </c>
      <c r="Q457" s="7"/>
      <c r="R457" s="1"/>
    </row>
    <row r="458" spans="1:18" ht="102">
      <c r="A458" s="1"/>
      <c r="B458" s="6"/>
      <c r="C458" s="11">
        <f>SUBTOTAL(103,$D$4:D458)</f>
        <v>455</v>
      </c>
      <c r="D458" s="9" t="s">
        <v>1416</v>
      </c>
      <c r="E458" s="12" t="s">
        <v>1091</v>
      </c>
      <c r="F458" s="10" t="s">
        <v>22</v>
      </c>
      <c r="G458" s="12" t="s">
        <v>55</v>
      </c>
      <c r="H458" s="81" t="s">
        <v>1092</v>
      </c>
      <c r="I458" s="10" t="s">
        <v>54</v>
      </c>
      <c r="J458" s="81" t="s">
        <v>1093</v>
      </c>
      <c r="K458" s="10" t="s">
        <v>54</v>
      </c>
      <c r="L458" s="81" t="s">
        <v>1094</v>
      </c>
      <c r="M458" s="10" t="s">
        <v>54</v>
      </c>
      <c r="N458" s="81" t="s">
        <v>1095</v>
      </c>
      <c r="O458" s="9" t="s">
        <v>1902</v>
      </c>
      <c r="P458" s="11">
        <v>278</v>
      </c>
      <c r="Q458" s="7"/>
      <c r="R458" s="1"/>
    </row>
    <row r="459" spans="1:18" ht="85">
      <c r="A459" s="1"/>
      <c r="B459" s="6"/>
      <c r="C459" s="11">
        <f>SUBTOTAL(103,$D$4:D459)</f>
        <v>456</v>
      </c>
      <c r="D459" s="9" t="s">
        <v>1416</v>
      </c>
      <c r="E459" s="12" t="s">
        <v>1096</v>
      </c>
      <c r="F459" s="10" t="s">
        <v>22</v>
      </c>
      <c r="G459" s="10" t="s">
        <v>54</v>
      </c>
      <c r="H459" s="81" t="s">
        <v>1097</v>
      </c>
      <c r="I459" s="12" t="s">
        <v>55</v>
      </c>
      <c r="J459" s="81" t="s">
        <v>1098</v>
      </c>
      <c r="K459" s="10" t="s">
        <v>54</v>
      </c>
      <c r="L459" s="81" t="s">
        <v>1099</v>
      </c>
      <c r="M459" s="10" t="s">
        <v>54</v>
      </c>
      <c r="N459" s="81" t="s">
        <v>1100</v>
      </c>
      <c r="O459" s="9"/>
      <c r="P459" s="11">
        <v>279</v>
      </c>
      <c r="Q459" s="7"/>
      <c r="R459" s="1"/>
    </row>
    <row r="460" spans="1:18" ht="68">
      <c r="A460" s="1"/>
      <c r="B460" s="6"/>
      <c r="C460" s="11">
        <f>SUBTOTAL(103,$D$4:D460)</f>
        <v>457</v>
      </c>
      <c r="D460" s="9" t="s">
        <v>1416</v>
      </c>
      <c r="E460" s="12" t="s">
        <v>1101</v>
      </c>
      <c r="F460" s="10" t="s">
        <v>22</v>
      </c>
      <c r="G460" s="10" t="s">
        <v>54</v>
      </c>
      <c r="H460" s="81" t="s">
        <v>1102</v>
      </c>
      <c r="I460" s="10" t="s">
        <v>54</v>
      </c>
      <c r="J460" s="81" t="s">
        <v>1088</v>
      </c>
      <c r="K460" s="12" t="s">
        <v>55</v>
      </c>
      <c r="L460" s="81" t="s">
        <v>1103</v>
      </c>
      <c r="M460" s="10" t="s">
        <v>54</v>
      </c>
      <c r="N460" s="81" t="s">
        <v>1104</v>
      </c>
      <c r="O460" s="9"/>
      <c r="P460" s="11">
        <v>280</v>
      </c>
      <c r="Q460" s="7"/>
      <c r="R460" s="1"/>
    </row>
    <row r="461" spans="1:18" ht="34">
      <c r="A461" s="1"/>
      <c r="B461" s="6"/>
      <c r="C461" s="11">
        <f>SUBTOTAL(103,$D$4:D461)</f>
        <v>458</v>
      </c>
      <c r="D461" s="9" t="s">
        <v>1416</v>
      </c>
      <c r="E461" s="12" t="s">
        <v>1105</v>
      </c>
      <c r="F461" s="10" t="s">
        <v>22</v>
      </c>
      <c r="G461" s="10" t="s">
        <v>54</v>
      </c>
      <c r="H461" s="81" t="s">
        <v>1106</v>
      </c>
      <c r="I461" s="10" t="s">
        <v>54</v>
      </c>
      <c r="J461" s="81" t="s">
        <v>1107</v>
      </c>
      <c r="K461" s="10" t="s">
        <v>54</v>
      </c>
      <c r="L461" s="81" t="s">
        <v>1108</v>
      </c>
      <c r="M461" s="12" t="s">
        <v>55</v>
      </c>
      <c r="N461" s="81" t="s">
        <v>1109</v>
      </c>
      <c r="O461" s="9"/>
      <c r="P461" s="11">
        <v>281</v>
      </c>
      <c r="Q461" s="7"/>
      <c r="R461" s="1"/>
    </row>
    <row r="462" spans="1:18" ht="34">
      <c r="A462" s="1"/>
      <c r="B462" s="6"/>
      <c r="C462" s="11">
        <f>SUBTOTAL(103,$D$4:D462)</f>
        <v>459</v>
      </c>
      <c r="D462" s="9" t="s">
        <v>1416</v>
      </c>
      <c r="E462" s="12" t="s">
        <v>1110</v>
      </c>
      <c r="F462" s="10" t="s">
        <v>8</v>
      </c>
      <c r="G462" s="10" t="s">
        <v>54</v>
      </c>
      <c r="H462" s="80" t="s">
        <v>10</v>
      </c>
      <c r="I462" s="12" t="s">
        <v>55</v>
      </c>
      <c r="J462" s="12" t="s">
        <v>9</v>
      </c>
      <c r="K462" s="10" t="s">
        <v>54</v>
      </c>
      <c r="L462" s="81" t="s">
        <v>177</v>
      </c>
      <c r="M462" s="10" t="s">
        <v>54</v>
      </c>
      <c r="N462" s="81" t="s">
        <v>177</v>
      </c>
      <c r="O462" s="9"/>
      <c r="P462" s="11">
        <v>282</v>
      </c>
      <c r="Q462" s="7"/>
      <c r="R462" s="1"/>
    </row>
    <row r="463" spans="1:18" ht="34">
      <c r="A463" s="1"/>
      <c r="B463" s="6"/>
      <c r="C463" s="11">
        <f>SUBTOTAL(103,$D$4:D463)</f>
        <v>460</v>
      </c>
      <c r="D463" s="9" t="s">
        <v>1416</v>
      </c>
      <c r="E463" s="12" t="s">
        <v>1111</v>
      </c>
      <c r="F463" s="10" t="s">
        <v>8</v>
      </c>
      <c r="G463" s="12" t="s">
        <v>55</v>
      </c>
      <c r="H463" s="80" t="s">
        <v>10</v>
      </c>
      <c r="I463" s="10" t="s">
        <v>54</v>
      </c>
      <c r="J463" s="12" t="s">
        <v>9</v>
      </c>
      <c r="K463" s="10" t="s">
        <v>54</v>
      </c>
      <c r="L463" s="81" t="s">
        <v>177</v>
      </c>
      <c r="M463" s="10" t="s">
        <v>54</v>
      </c>
      <c r="N463" s="81" t="s">
        <v>177</v>
      </c>
      <c r="O463" s="9"/>
      <c r="P463" s="11">
        <v>283</v>
      </c>
      <c r="Q463" s="7"/>
      <c r="R463" s="1"/>
    </row>
    <row r="464" spans="1:18" ht="51">
      <c r="A464" s="1"/>
      <c r="B464" s="6"/>
      <c r="C464" s="11">
        <f>SUBTOTAL(103,$D$4:D464)</f>
        <v>461</v>
      </c>
      <c r="D464" s="9" t="s">
        <v>1416</v>
      </c>
      <c r="E464" s="12" t="s">
        <v>1112</v>
      </c>
      <c r="F464" s="10" t="s">
        <v>8</v>
      </c>
      <c r="G464" s="12" t="s">
        <v>55</v>
      </c>
      <c r="H464" s="80" t="s">
        <v>10</v>
      </c>
      <c r="I464" s="10" t="s">
        <v>54</v>
      </c>
      <c r="J464" s="12" t="s">
        <v>9</v>
      </c>
      <c r="K464" s="10" t="s">
        <v>54</v>
      </c>
      <c r="L464" s="81" t="s">
        <v>177</v>
      </c>
      <c r="M464" s="10" t="s">
        <v>54</v>
      </c>
      <c r="N464" s="81" t="s">
        <v>177</v>
      </c>
      <c r="O464" s="9"/>
      <c r="P464" s="11">
        <v>284</v>
      </c>
      <c r="Q464" s="7"/>
      <c r="R464" s="1"/>
    </row>
    <row r="465" spans="1:18" ht="85">
      <c r="A465" s="1"/>
      <c r="B465" s="6"/>
      <c r="C465" s="11">
        <f>SUBTOTAL(103,$D$4:D465)</f>
        <v>462</v>
      </c>
      <c r="D465" s="9" t="s">
        <v>1416</v>
      </c>
      <c r="E465" s="12" t="s">
        <v>1113</v>
      </c>
      <c r="F465" s="10" t="s">
        <v>12</v>
      </c>
      <c r="G465" s="12" t="s">
        <v>55</v>
      </c>
      <c r="H465" s="81" t="s">
        <v>1114</v>
      </c>
      <c r="I465" s="10" t="s">
        <v>54</v>
      </c>
      <c r="J465" s="81" t="s">
        <v>1115</v>
      </c>
      <c r="K465" s="12" t="s">
        <v>55</v>
      </c>
      <c r="L465" s="81" t="s">
        <v>1116</v>
      </c>
      <c r="M465" s="10" t="s">
        <v>54</v>
      </c>
      <c r="N465" s="81" t="s">
        <v>1117</v>
      </c>
      <c r="O465" s="9"/>
      <c r="P465" s="11">
        <v>285</v>
      </c>
      <c r="Q465" s="7"/>
      <c r="R465" s="1"/>
    </row>
    <row r="466" spans="1:18" ht="85">
      <c r="A466" s="1"/>
      <c r="B466" s="6"/>
      <c r="C466" s="11">
        <f>SUBTOTAL(103,$D$4:D466)</f>
        <v>463</v>
      </c>
      <c r="D466" s="9" t="s">
        <v>1416</v>
      </c>
      <c r="E466" s="12" t="s">
        <v>1118</v>
      </c>
      <c r="F466" s="10" t="s">
        <v>12</v>
      </c>
      <c r="G466" s="10" t="s">
        <v>54</v>
      </c>
      <c r="H466" s="81" t="s">
        <v>1119</v>
      </c>
      <c r="I466" s="10" t="s">
        <v>54</v>
      </c>
      <c r="J466" s="81" t="s">
        <v>1120</v>
      </c>
      <c r="K466" s="12" t="s">
        <v>55</v>
      </c>
      <c r="L466" s="81" t="s">
        <v>1121</v>
      </c>
      <c r="M466" s="12" t="s">
        <v>55</v>
      </c>
      <c r="N466" s="81" t="s">
        <v>1122</v>
      </c>
      <c r="O466" s="9"/>
      <c r="P466" s="11">
        <v>286</v>
      </c>
      <c r="Q466" s="7"/>
      <c r="R466" s="1"/>
    </row>
    <row r="467" spans="1:18" ht="153">
      <c r="A467" s="1"/>
      <c r="B467" s="6"/>
      <c r="C467" s="11">
        <f>SUBTOTAL(103,$D$4:D467)</f>
        <v>464</v>
      </c>
      <c r="D467" s="9" t="s">
        <v>1416</v>
      </c>
      <c r="E467" s="12" t="s">
        <v>1123</v>
      </c>
      <c r="F467" s="10" t="s">
        <v>12</v>
      </c>
      <c r="G467" s="10" t="s">
        <v>54</v>
      </c>
      <c r="H467" s="81" t="s">
        <v>1124</v>
      </c>
      <c r="I467" s="12" t="s">
        <v>55</v>
      </c>
      <c r="J467" s="81" t="s">
        <v>1125</v>
      </c>
      <c r="K467" s="12" t="s">
        <v>55</v>
      </c>
      <c r="L467" s="81" t="s">
        <v>1126</v>
      </c>
      <c r="M467" s="10" t="s">
        <v>54</v>
      </c>
      <c r="N467" s="81" t="s">
        <v>1127</v>
      </c>
      <c r="O467" s="9"/>
      <c r="P467" s="11">
        <v>287</v>
      </c>
      <c r="Q467" s="7"/>
      <c r="R467" s="1"/>
    </row>
    <row r="468" spans="1:18" ht="68">
      <c r="A468" s="1"/>
      <c r="B468" s="6"/>
      <c r="C468" s="11">
        <f>SUBTOTAL(103,$D$4:D468)</f>
        <v>465</v>
      </c>
      <c r="D468" s="9" t="s">
        <v>1416</v>
      </c>
      <c r="E468" s="12" t="s">
        <v>1128</v>
      </c>
      <c r="F468" s="10" t="s">
        <v>12</v>
      </c>
      <c r="G468" s="12" t="s">
        <v>55</v>
      </c>
      <c r="H468" s="81" t="s">
        <v>1129</v>
      </c>
      <c r="I468" s="12" t="s">
        <v>55</v>
      </c>
      <c r="J468" s="81" t="s">
        <v>1130</v>
      </c>
      <c r="K468" s="10" t="s">
        <v>54</v>
      </c>
      <c r="L468" s="81" t="s">
        <v>1131</v>
      </c>
      <c r="M468" s="12" t="s">
        <v>55</v>
      </c>
      <c r="N468" s="81" t="s">
        <v>1132</v>
      </c>
      <c r="O468" s="9"/>
      <c r="P468" s="11">
        <v>288</v>
      </c>
      <c r="Q468" s="7"/>
      <c r="R468" s="1"/>
    </row>
    <row r="469" spans="1:18" ht="68">
      <c r="A469" s="1"/>
      <c r="B469" s="6"/>
      <c r="C469" s="11">
        <f>SUBTOTAL(103,$D$4:D469)</f>
        <v>466</v>
      </c>
      <c r="D469" s="9" t="s">
        <v>1416</v>
      </c>
      <c r="E469" s="12" t="s">
        <v>1133</v>
      </c>
      <c r="F469" s="10" t="s">
        <v>12</v>
      </c>
      <c r="G469" s="12" t="s">
        <v>55</v>
      </c>
      <c r="H469" s="81" t="s">
        <v>1134</v>
      </c>
      <c r="I469" s="10" t="s">
        <v>54</v>
      </c>
      <c r="J469" s="81" t="s">
        <v>1135</v>
      </c>
      <c r="K469" s="12" t="s">
        <v>55</v>
      </c>
      <c r="L469" s="81" t="s">
        <v>1136</v>
      </c>
      <c r="M469" s="12" t="s">
        <v>55</v>
      </c>
      <c r="N469" s="81" t="s">
        <v>1137</v>
      </c>
      <c r="O469" s="9"/>
      <c r="P469" s="11">
        <v>289</v>
      </c>
      <c r="Q469" s="7"/>
      <c r="R469" s="1"/>
    </row>
    <row r="470" spans="1:18" ht="85">
      <c r="A470" s="1"/>
      <c r="B470" s="6"/>
      <c r="C470" s="11">
        <f>SUBTOTAL(103,$D$4:D470)</f>
        <v>467</v>
      </c>
      <c r="D470" s="9" t="s">
        <v>1416</v>
      </c>
      <c r="E470" s="12" t="s">
        <v>1138</v>
      </c>
      <c r="F470" s="10" t="s">
        <v>12</v>
      </c>
      <c r="G470" s="12" t="s">
        <v>55</v>
      </c>
      <c r="H470" s="81" t="s">
        <v>1139</v>
      </c>
      <c r="I470" s="12" t="s">
        <v>55</v>
      </c>
      <c r="J470" s="81" t="s">
        <v>1140</v>
      </c>
      <c r="K470" s="10" t="s">
        <v>54</v>
      </c>
      <c r="L470" s="81" t="s">
        <v>1141</v>
      </c>
      <c r="M470" s="12" t="s">
        <v>55</v>
      </c>
      <c r="N470" s="81" t="s">
        <v>1142</v>
      </c>
      <c r="O470" s="9"/>
      <c r="P470" s="11">
        <v>290</v>
      </c>
      <c r="Q470" s="7"/>
      <c r="R470" s="1"/>
    </row>
    <row r="471" spans="1:18" ht="85">
      <c r="A471" s="1"/>
      <c r="B471" s="6"/>
      <c r="C471" s="11">
        <f>SUBTOTAL(103,$D$4:D471)</f>
        <v>468</v>
      </c>
      <c r="D471" s="9" t="s">
        <v>1416</v>
      </c>
      <c r="E471" s="12" t="s">
        <v>1143</v>
      </c>
      <c r="F471" s="10" t="s">
        <v>22</v>
      </c>
      <c r="G471" s="10" t="s">
        <v>54</v>
      </c>
      <c r="H471" s="81" t="s">
        <v>1144</v>
      </c>
      <c r="I471" s="12" t="s">
        <v>55</v>
      </c>
      <c r="J471" s="81" t="s">
        <v>1145</v>
      </c>
      <c r="K471" s="10" t="s">
        <v>54</v>
      </c>
      <c r="L471" s="81" t="s">
        <v>1146</v>
      </c>
      <c r="M471" s="10" t="s">
        <v>54</v>
      </c>
      <c r="N471" s="81" t="s">
        <v>1147</v>
      </c>
      <c r="O471" s="9"/>
      <c r="P471" s="11">
        <v>291</v>
      </c>
      <c r="Q471" s="7"/>
      <c r="R471" s="1"/>
    </row>
    <row r="472" spans="1:18" ht="68">
      <c r="A472" s="1"/>
      <c r="B472" s="6"/>
      <c r="C472" s="11">
        <f>SUBTOTAL(103,$D$4:D472)</f>
        <v>469</v>
      </c>
      <c r="D472" s="9" t="s">
        <v>1416</v>
      </c>
      <c r="E472" s="12" t="s">
        <v>1148</v>
      </c>
      <c r="F472" s="10" t="s">
        <v>22</v>
      </c>
      <c r="G472" s="10" t="s">
        <v>54</v>
      </c>
      <c r="H472" s="81" t="s">
        <v>1149</v>
      </c>
      <c r="I472" s="10" t="s">
        <v>54</v>
      </c>
      <c r="J472" s="81" t="s">
        <v>1150</v>
      </c>
      <c r="K472" s="12" t="s">
        <v>55</v>
      </c>
      <c r="L472" s="81" t="s">
        <v>1151</v>
      </c>
      <c r="M472" s="10" t="s">
        <v>54</v>
      </c>
      <c r="N472" s="81" t="s">
        <v>1152</v>
      </c>
      <c r="O472" s="9"/>
      <c r="P472" s="11">
        <v>292</v>
      </c>
      <c r="Q472" s="7"/>
      <c r="R472" s="1"/>
    </row>
    <row r="473" spans="1:18" ht="34">
      <c r="A473" s="1"/>
      <c r="B473" s="6"/>
      <c r="C473" s="11">
        <f>SUBTOTAL(103,$D$4:D473)</f>
        <v>470</v>
      </c>
      <c r="D473" s="9" t="s">
        <v>1416</v>
      </c>
      <c r="E473" s="12" t="s">
        <v>1153</v>
      </c>
      <c r="F473" s="10" t="s">
        <v>22</v>
      </c>
      <c r="G473" s="12" t="s">
        <v>55</v>
      </c>
      <c r="H473" s="81" t="s">
        <v>1154</v>
      </c>
      <c r="I473" s="10" t="s">
        <v>54</v>
      </c>
      <c r="J473" s="81" t="s">
        <v>1155</v>
      </c>
      <c r="K473" s="10" t="s">
        <v>54</v>
      </c>
      <c r="L473" s="81" t="s">
        <v>1156</v>
      </c>
      <c r="M473" s="10" t="s">
        <v>54</v>
      </c>
      <c r="N473" s="81" t="s">
        <v>1157</v>
      </c>
      <c r="O473" s="9"/>
      <c r="P473" s="11">
        <v>293</v>
      </c>
      <c r="Q473" s="7"/>
      <c r="R473" s="1"/>
    </row>
    <row r="474" spans="1:18" ht="34">
      <c r="A474" s="1"/>
      <c r="B474" s="6"/>
      <c r="C474" s="11">
        <f>SUBTOTAL(103,$D$4:D474)</f>
        <v>471</v>
      </c>
      <c r="D474" s="9" t="s">
        <v>1416</v>
      </c>
      <c r="E474" s="12" t="s">
        <v>1158</v>
      </c>
      <c r="F474" s="10" t="s">
        <v>22</v>
      </c>
      <c r="G474" s="10" t="s">
        <v>54</v>
      </c>
      <c r="H474" s="81" t="s">
        <v>1159</v>
      </c>
      <c r="I474" s="10" t="s">
        <v>54</v>
      </c>
      <c r="J474" s="81" t="s">
        <v>1160</v>
      </c>
      <c r="K474" s="10" t="s">
        <v>54</v>
      </c>
      <c r="L474" s="81" t="s">
        <v>1161</v>
      </c>
      <c r="M474" s="12" t="s">
        <v>55</v>
      </c>
      <c r="N474" s="81" t="s">
        <v>67</v>
      </c>
      <c r="O474" s="9"/>
      <c r="P474" s="11">
        <v>294</v>
      </c>
      <c r="Q474" s="7"/>
      <c r="R474" s="1"/>
    </row>
    <row r="475" spans="1:18" ht="34">
      <c r="A475" s="1"/>
      <c r="B475" s="6"/>
      <c r="C475" s="11">
        <f>SUBTOTAL(103,$D$4:D475)</f>
        <v>472</v>
      </c>
      <c r="D475" s="9" t="s">
        <v>1416</v>
      </c>
      <c r="E475" s="12" t="s">
        <v>1162</v>
      </c>
      <c r="F475" s="10" t="s">
        <v>22</v>
      </c>
      <c r="G475" s="10" t="s">
        <v>54</v>
      </c>
      <c r="H475" s="81" t="s">
        <v>1163</v>
      </c>
      <c r="I475" s="12" t="s">
        <v>55</v>
      </c>
      <c r="J475" s="81" t="s">
        <v>1141</v>
      </c>
      <c r="K475" s="10" t="s">
        <v>54</v>
      </c>
      <c r="L475" s="81" t="s">
        <v>1164</v>
      </c>
      <c r="M475" s="10" t="s">
        <v>54</v>
      </c>
      <c r="N475" s="81" t="s">
        <v>1165</v>
      </c>
      <c r="O475" s="9"/>
      <c r="P475" s="11">
        <v>295</v>
      </c>
      <c r="Q475" s="7"/>
      <c r="R475" s="1"/>
    </row>
    <row r="476" spans="1:18" ht="102">
      <c r="A476" s="1"/>
      <c r="B476" s="6"/>
      <c r="C476" s="11">
        <f>SUBTOTAL(103,$D$4:D476)</f>
        <v>473</v>
      </c>
      <c r="D476" s="9" t="s">
        <v>1416</v>
      </c>
      <c r="E476" s="12" t="s">
        <v>1166</v>
      </c>
      <c r="F476" s="10" t="s">
        <v>22</v>
      </c>
      <c r="G476" s="10" t="s">
        <v>54</v>
      </c>
      <c r="H476" s="81" t="s">
        <v>1167</v>
      </c>
      <c r="I476" s="10" t="s">
        <v>54</v>
      </c>
      <c r="J476" s="81" t="s">
        <v>1168</v>
      </c>
      <c r="K476" s="12" t="s">
        <v>55</v>
      </c>
      <c r="L476" s="81" t="s">
        <v>1169</v>
      </c>
      <c r="M476" s="10" t="s">
        <v>54</v>
      </c>
      <c r="N476" s="81" t="s">
        <v>1170</v>
      </c>
      <c r="O476" s="9"/>
      <c r="P476" s="11">
        <v>296</v>
      </c>
      <c r="Q476" s="7"/>
      <c r="R476" s="1"/>
    </row>
    <row r="477" spans="1:18" ht="34">
      <c r="A477" s="1"/>
      <c r="B477" s="6"/>
      <c r="C477" s="11">
        <f>SUBTOTAL(103,$D$4:D477)</f>
        <v>474</v>
      </c>
      <c r="D477" s="9" t="s">
        <v>1416</v>
      </c>
      <c r="E477" s="12" t="s">
        <v>1171</v>
      </c>
      <c r="F477" s="10" t="s">
        <v>8</v>
      </c>
      <c r="G477" s="10" t="s">
        <v>54</v>
      </c>
      <c r="H477" s="80" t="s">
        <v>10</v>
      </c>
      <c r="I477" s="12" t="s">
        <v>55</v>
      </c>
      <c r="J477" s="12" t="s">
        <v>9</v>
      </c>
      <c r="K477" s="10" t="s">
        <v>54</v>
      </c>
      <c r="L477" s="81" t="s">
        <v>177</v>
      </c>
      <c r="M477" s="10" t="s">
        <v>54</v>
      </c>
      <c r="N477" s="81" t="s">
        <v>177</v>
      </c>
      <c r="O477" s="9" t="s">
        <v>1833</v>
      </c>
      <c r="P477" s="11">
        <v>297</v>
      </c>
      <c r="Q477" s="7"/>
      <c r="R477" s="1"/>
    </row>
    <row r="478" spans="1:18" ht="51">
      <c r="A478" s="1"/>
      <c r="B478" s="6"/>
      <c r="C478" s="11">
        <f>SUBTOTAL(103,$D$4:D478)</f>
        <v>475</v>
      </c>
      <c r="D478" s="9" t="s">
        <v>1416</v>
      </c>
      <c r="E478" s="12" t="s">
        <v>1172</v>
      </c>
      <c r="F478" s="10" t="s">
        <v>8</v>
      </c>
      <c r="G478" s="12" t="s">
        <v>55</v>
      </c>
      <c r="H478" s="80" t="s">
        <v>10</v>
      </c>
      <c r="I478" s="10" t="s">
        <v>54</v>
      </c>
      <c r="J478" s="12" t="s">
        <v>9</v>
      </c>
      <c r="K478" s="10" t="s">
        <v>54</v>
      </c>
      <c r="L478" s="81" t="s">
        <v>177</v>
      </c>
      <c r="M478" s="10" t="s">
        <v>54</v>
      </c>
      <c r="N478" s="81" t="s">
        <v>177</v>
      </c>
      <c r="O478" s="9"/>
      <c r="P478" s="11">
        <v>298</v>
      </c>
      <c r="Q478" s="7"/>
      <c r="R478" s="1"/>
    </row>
    <row r="479" spans="1:18" ht="34">
      <c r="A479" s="1"/>
      <c r="B479" s="6"/>
      <c r="C479" s="11">
        <f>SUBTOTAL(103,$D$4:D479)</f>
        <v>476</v>
      </c>
      <c r="D479" s="9" t="s">
        <v>1416</v>
      </c>
      <c r="E479" s="12" t="s">
        <v>1173</v>
      </c>
      <c r="F479" s="10" t="s">
        <v>8</v>
      </c>
      <c r="G479" s="12" t="s">
        <v>55</v>
      </c>
      <c r="H479" s="80" t="s">
        <v>10</v>
      </c>
      <c r="I479" s="10" t="s">
        <v>54</v>
      </c>
      <c r="J479" s="12" t="s">
        <v>9</v>
      </c>
      <c r="K479" s="10" t="s">
        <v>54</v>
      </c>
      <c r="L479" s="81" t="s">
        <v>177</v>
      </c>
      <c r="M479" s="10" t="s">
        <v>54</v>
      </c>
      <c r="N479" s="81" t="s">
        <v>177</v>
      </c>
      <c r="O479" s="9"/>
      <c r="P479" s="11">
        <v>299</v>
      </c>
      <c r="Q479" s="7"/>
      <c r="R479" s="1"/>
    </row>
    <row r="480" spans="1:18" ht="119">
      <c r="A480" s="1"/>
      <c r="B480" s="6"/>
      <c r="C480" s="11">
        <f>SUBTOTAL(103,$D$4:D480)</f>
        <v>477</v>
      </c>
      <c r="D480" s="9" t="s">
        <v>1416</v>
      </c>
      <c r="E480" s="12" t="s">
        <v>1174</v>
      </c>
      <c r="F480" s="10" t="s">
        <v>12</v>
      </c>
      <c r="G480" s="12" t="s">
        <v>55</v>
      </c>
      <c r="H480" s="81" t="s">
        <v>1175</v>
      </c>
      <c r="I480" s="10" t="s">
        <v>54</v>
      </c>
      <c r="J480" s="81" t="s">
        <v>1176</v>
      </c>
      <c r="K480" s="12" t="s">
        <v>55</v>
      </c>
      <c r="L480" s="81" t="s">
        <v>1177</v>
      </c>
      <c r="M480" s="12" t="s">
        <v>55</v>
      </c>
      <c r="N480" s="81" t="s">
        <v>1178</v>
      </c>
      <c r="O480" s="9" t="s">
        <v>1834</v>
      </c>
      <c r="P480" s="11">
        <v>300</v>
      </c>
      <c r="Q480" s="7"/>
      <c r="R480" s="1"/>
    </row>
    <row r="481" spans="1:18" ht="102">
      <c r="A481" s="1"/>
      <c r="B481" s="6"/>
      <c r="C481" s="11">
        <f>SUBTOTAL(103,$D$4:D481)</f>
        <v>478</v>
      </c>
      <c r="D481" s="9" t="s">
        <v>1416</v>
      </c>
      <c r="E481" s="12" t="s">
        <v>1179</v>
      </c>
      <c r="F481" s="10" t="s">
        <v>12</v>
      </c>
      <c r="G481" s="12" t="s">
        <v>55</v>
      </c>
      <c r="H481" s="81" t="s">
        <v>1180</v>
      </c>
      <c r="I481" s="12" t="s">
        <v>55</v>
      </c>
      <c r="J481" s="81" t="s">
        <v>1181</v>
      </c>
      <c r="K481" s="12" t="s">
        <v>55</v>
      </c>
      <c r="L481" s="81" t="s">
        <v>1182</v>
      </c>
      <c r="M481" s="10" t="s">
        <v>54</v>
      </c>
      <c r="N481" s="81" t="s">
        <v>1183</v>
      </c>
      <c r="O481" s="9"/>
      <c r="P481" s="11">
        <v>301</v>
      </c>
      <c r="Q481" s="7"/>
      <c r="R481" s="1"/>
    </row>
    <row r="482" spans="1:18" ht="136">
      <c r="A482" s="1"/>
      <c r="B482" s="6"/>
      <c r="C482" s="11">
        <f>SUBTOTAL(103,$D$4:D482)</f>
        <v>479</v>
      </c>
      <c r="D482" s="9" t="s">
        <v>1416</v>
      </c>
      <c r="E482" s="12" t="s">
        <v>1184</v>
      </c>
      <c r="F482" s="10" t="s">
        <v>12</v>
      </c>
      <c r="G482" s="10" t="s">
        <v>54</v>
      </c>
      <c r="H482" s="81" t="s">
        <v>1185</v>
      </c>
      <c r="I482" s="12" t="s">
        <v>55</v>
      </c>
      <c r="J482" s="81" t="s">
        <v>1186</v>
      </c>
      <c r="K482" s="12" t="s">
        <v>55</v>
      </c>
      <c r="L482" s="81" t="s">
        <v>1187</v>
      </c>
      <c r="M482" s="12" t="s">
        <v>55</v>
      </c>
      <c r="N482" s="81" t="s">
        <v>1188</v>
      </c>
      <c r="O482" s="9" t="s">
        <v>1832</v>
      </c>
      <c r="P482" s="11">
        <v>302</v>
      </c>
      <c r="Q482" s="7"/>
      <c r="R482" s="1"/>
    </row>
    <row r="483" spans="1:18" ht="102">
      <c r="A483" s="1"/>
      <c r="B483" s="6"/>
      <c r="C483" s="11">
        <f>SUBTOTAL(103,$D$4:D483)</f>
        <v>480</v>
      </c>
      <c r="D483" s="9" t="s">
        <v>1416</v>
      </c>
      <c r="E483" s="12" t="s">
        <v>1189</v>
      </c>
      <c r="F483" s="10" t="s">
        <v>12</v>
      </c>
      <c r="G483" s="10" t="s">
        <v>54</v>
      </c>
      <c r="H483" s="81" t="s">
        <v>1190</v>
      </c>
      <c r="I483" s="12" t="s">
        <v>55</v>
      </c>
      <c r="J483" s="81" t="s">
        <v>1193</v>
      </c>
      <c r="K483" s="10" t="s">
        <v>54</v>
      </c>
      <c r="L483" s="81" t="s">
        <v>1191</v>
      </c>
      <c r="M483" s="12" t="s">
        <v>55</v>
      </c>
      <c r="N483" s="81" t="s">
        <v>1192</v>
      </c>
      <c r="O483" s="9"/>
      <c r="P483" s="11">
        <v>303</v>
      </c>
      <c r="Q483" s="7"/>
      <c r="R483" s="1"/>
    </row>
    <row r="484" spans="1:18" ht="153">
      <c r="A484" s="1"/>
      <c r="B484" s="6"/>
      <c r="C484" s="11">
        <f>SUBTOTAL(103,$D$4:D484)</f>
        <v>481</v>
      </c>
      <c r="D484" s="9" t="s">
        <v>1416</v>
      </c>
      <c r="E484" s="12" t="s">
        <v>1194</v>
      </c>
      <c r="F484" s="10" t="s">
        <v>12</v>
      </c>
      <c r="G484" s="12" t="s">
        <v>55</v>
      </c>
      <c r="H484" s="81" t="s">
        <v>1195</v>
      </c>
      <c r="I484" s="12" t="s">
        <v>55</v>
      </c>
      <c r="J484" s="81" t="s">
        <v>1196</v>
      </c>
      <c r="K484" s="12" t="s">
        <v>55</v>
      </c>
      <c r="L484" s="81" t="s">
        <v>1198</v>
      </c>
      <c r="M484" s="12" t="s">
        <v>55</v>
      </c>
      <c r="N484" s="81" t="s">
        <v>1197</v>
      </c>
      <c r="O484" s="9"/>
      <c r="P484" s="11">
        <v>304</v>
      </c>
      <c r="Q484" s="7"/>
      <c r="R484" s="1"/>
    </row>
    <row r="485" spans="1:18" ht="170">
      <c r="A485" s="1"/>
      <c r="B485" s="6"/>
      <c r="C485" s="11">
        <f>SUBTOTAL(103,$D$4:D485)</f>
        <v>482</v>
      </c>
      <c r="D485" s="9" t="s">
        <v>1416</v>
      </c>
      <c r="E485" s="12" t="s">
        <v>1199</v>
      </c>
      <c r="F485" s="10" t="s">
        <v>12</v>
      </c>
      <c r="G485" s="12" t="s">
        <v>55</v>
      </c>
      <c r="H485" s="81" t="s">
        <v>1203</v>
      </c>
      <c r="I485" s="10" t="s">
        <v>54</v>
      </c>
      <c r="J485" s="81" t="s">
        <v>1202</v>
      </c>
      <c r="K485" s="12" t="s">
        <v>55</v>
      </c>
      <c r="L485" s="81" t="s">
        <v>1201</v>
      </c>
      <c r="M485" s="12" t="s">
        <v>55</v>
      </c>
      <c r="N485" s="81" t="s">
        <v>1200</v>
      </c>
      <c r="O485" s="9"/>
      <c r="P485" s="11">
        <v>305</v>
      </c>
      <c r="Q485" s="7"/>
      <c r="R485" s="1"/>
    </row>
    <row r="486" spans="1:18" ht="51">
      <c r="A486" s="1"/>
      <c r="B486" s="6"/>
      <c r="C486" s="11">
        <f>SUBTOTAL(103,$D$4:D486)</f>
        <v>483</v>
      </c>
      <c r="D486" s="9" t="s">
        <v>1416</v>
      </c>
      <c r="E486" s="12" t="s">
        <v>1204</v>
      </c>
      <c r="F486" s="10" t="s">
        <v>8</v>
      </c>
      <c r="G486" s="10" t="s">
        <v>54</v>
      </c>
      <c r="H486" s="80" t="s">
        <v>10</v>
      </c>
      <c r="I486" s="12" t="s">
        <v>55</v>
      </c>
      <c r="J486" s="12" t="s">
        <v>9</v>
      </c>
      <c r="K486" s="10" t="s">
        <v>54</v>
      </c>
      <c r="L486" s="81" t="s">
        <v>177</v>
      </c>
      <c r="M486" s="10" t="s">
        <v>54</v>
      </c>
      <c r="N486" s="81" t="s">
        <v>177</v>
      </c>
      <c r="O486" s="9"/>
      <c r="P486" s="11">
        <v>306</v>
      </c>
      <c r="Q486" s="7"/>
      <c r="R486" s="1"/>
    </row>
    <row r="487" spans="1:18" ht="34">
      <c r="A487" s="1"/>
      <c r="B487" s="6"/>
      <c r="C487" s="11">
        <f>SUBTOTAL(103,$D$4:D487)</f>
        <v>484</v>
      </c>
      <c r="D487" s="9" t="s">
        <v>1416</v>
      </c>
      <c r="E487" s="12" t="s">
        <v>1205</v>
      </c>
      <c r="F487" s="10" t="s">
        <v>8</v>
      </c>
      <c r="G487" s="10" t="s">
        <v>54</v>
      </c>
      <c r="H487" s="80" t="s">
        <v>10</v>
      </c>
      <c r="I487" s="12" t="s">
        <v>55</v>
      </c>
      <c r="J487" s="12" t="s">
        <v>9</v>
      </c>
      <c r="K487" s="10" t="s">
        <v>54</v>
      </c>
      <c r="L487" s="81" t="s">
        <v>177</v>
      </c>
      <c r="M487" s="10" t="s">
        <v>54</v>
      </c>
      <c r="N487" s="81" t="s">
        <v>177</v>
      </c>
      <c r="O487" s="9"/>
      <c r="P487" s="11">
        <v>307</v>
      </c>
      <c r="Q487" s="7"/>
      <c r="R487" s="1"/>
    </row>
    <row r="488" spans="1:18" ht="34">
      <c r="A488" s="1"/>
      <c r="B488" s="6"/>
      <c r="C488" s="11">
        <f>SUBTOTAL(103,$D$4:D488)</f>
        <v>485</v>
      </c>
      <c r="D488" s="9" t="s">
        <v>1416</v>
      </c>
      <c r="E488" s="12" t="s">
        <v>1206</v>
      </c>
      <c r="F488" s="10" t="s">
        <v>8</v>
      </c>
      <c r="G488" s="12" t="s">
        <v>55</v>
      </c>
      <c r="H488" s="80" t="s">
        <v>10</v>
      </c>
      <c r="I488" s="10" t="s">
        <v>54</v>
      </c>
      <c r="J488" s="12" t="s">
        <v>9</v>
      </c>
      <c r="K488" s="10" t="s">
        <v>54</v>
      </c>
      <c r="L488" s="81" t="s">
        <v>177</v>
      </c>
      <c r="M488" s="10" t="s">
        <v>54</v>
      </c>
      <c r="N488" s="81" t="s">
        <v>177</v>
      </c>
      <c r="O488" s="9"/>
      <c r="P488" s="11">
        <v>308</v>
      </c>
      <c r="Q488" s="7"/>
      <c r="R488" s="1"/>
    </row>
    <row r="489" spans="1:18" ht="119">
      <c r="A489" s="1"/>
      <c r="B489" s="6"/>
      <c r="C489" s="11">
        <f>SUBTOTAL(103,$D$4:D489)</f>
        <v>486</v>
      </c>
      <c r="D489" s="9" t="s">
        <v>1416</v>
      </c>
      <c r="E489" s="12" t="s">
        <v>1207</v>
      </c>
      <c r="F489" s="10" t="s">
        <v>12</v>
      </c>
      <c r="G489" s="12" t="s">
        <v>55</v>
      </c>
      <c r="H489" s="81" t="s">
        <v>1208</v>
      </c>
      <c r="I489" s="10" t="s">
        <v>54</v>
      </c>
      <c r="J489" s="81" t="s">
        <v>1209</v>
      </c>
      <c r="K489" s="10" t="s">
        <v>54</v>
      </c>
      <c r="L489" s="81" t="s">
        <v>1210</v>
      </c>
      <c r="M489" s="12" t="s">
        <v>55</v>
      </c>
      <c r="N489" s="81" t="s">
        <v>1211</v>
      </c>
      <c r="O489" s="9"/>
      <c r="P489" s="11">
        <v>309</v>
      </c>
      <c r="Q489" s="7"/>
      <c r="R489" s="1"/>
    </row>
    <row r="490" spans="1:18" ht="170">
      <c r="A490" s="1"/>
      <c r="B490" s="6"/>
      <c r="C490" s="11">
        <f>SUBTOTAL(103,$D$4:D490)</f>
        <v>487</v>
      </c>
      <c r="D490" s="9" t="s">
        <v>1416</v>
      </c>
      <c r="E490" s="12" t="s">
        <v>1207</v>
      </c>
      <c r="F490" s="10" t="s">
        <v>12</v>
      </c>
      <c r="G490" s="10" t="s">
        <v>54</v>
      </c>
      <c r="H490" s="81" t="s">
        <v>1212</v>
      </c>
      <c r="I490" s="12" t="s">
        <v>55</v>
      </c>
      <c r="J490" s="81" t="s">
        <v>1213</v>
      </c>
      <c r="K490" s="12" t="s">
        <v>55</v>
      </c>
      <c r="L490" s="81" t="s">
        <v>1214</v>
      </c>
      <c r="M490" s="10" t="s">
        <v>54</v>
      </c>
      <c r="N490" s="81" t="s">
        <v>1215</v>
      </c>
      <c r="O490" s="9"/>
      <c r="P490" s="11">
        <v>310</v>
      </c>
      <c r="Q490" s="7"/>
      <c r="R490" s="1"/>
    </row>
    <row r="491" spans="1:18" ht="136">
      <c r="A491" s="1"/>
      <c r="B491" s="6"/>
      <c r="C491" s="11">
        <f>SUBTOTAL(103,$D$4:D491)</f>
        <v>488</v>
      </c>
      <c r="D491" s="9" t="s">
        <v>1416</v>
      </c>
      <c r="E491" s="12" t="s">
        <v>1216</v>
      </c>
      <c r="F491" s="10" t="s">
        <v>12</v>
      </c>
      <c r="G491" s="12" t="s">
        <v>55</v>
      </c>
      <c r="H491" s="81" t="s">
        <v>1217</v>
      </c>
      <c r="I491" s="12" t="s">
        <v>55</v>
      </c>
      <c r="J491" s="81" t="s">
        <v>1211</v>
      </c>
      <c r="K491" s="12" t="s">
        <v>55</v>
      </c>
      <c r="L491" s="81" t="s">
        <v>1218</v>
      </c>
      <c r="M491" s="10" t="s">
        <v>54</v>
      </c>
      <c r="N491" s="81" t="s">
        <v>1219</v>
      </c>
      <c r="O491" s="9"/>
      <c r="P491" s="11">
        <v>311</v>
      </c>
      <c r="Q491" s="7"/>
      <c r="R491" s="1"/>
    </row>
    <row r="492" spans="1:18" ht="170">
      <c r="A492" s="1"/>
      <c r="B492" s="6"/>
      <c r="C492" s="11">
        <f>SUBTOTAL(103,$D$4:D492)</f>
        <v>489</v>
      </c>
      <c r="D492" s="9" t="s">
        <v>1416</v>
      </c>
      <c r="E492" s="12" t="s">
        <v>1220</v>
      </c>
      <c r="F492" s="10" t="s">
        <v>22</v>
      </c>
      <c r="G492" s="10" t="s">
        <v>54</v>
      </c>
      <c r="H492" s="81" t="s">
        <v>1221</v>
      </c>
      <c r="I492" s="10" t="s">
        <v>54</v>
      </c>
      <c r="J492" s="81" t="s">
        <v>1222</v>
      </c>
      <c r="K492" s="12" t="s">
        <v>55</v>
      </c>
      <c r="L492" s="81" t="s">
        <v>1223</v>
      </c>
      <c r="M492" s="10" t="s">
        <v>54</v>
      </c>
      <c r="N492" s="81" t="s">
        <v>1224</v>
      </c>
      <c r="O492" s="9"/>
      <c r="P492" s="11">
        <v>312</v>
      </c>
      <c r="Q492" s="7"/>
      <c r="R492" s="1"/>
    </row>
    <row r="493" spans="1:18" ht="136">
      <c r="A493" s="1"/>
      <c r="B493" s="6"/>
      <c r="C493" s="11">
        <f>SUBTOTAL(103,$D$4:D493)</f>
        <v>490</v>
      </c>
      <c r="D493" s="9" t="s">
        <v>1416</v>
      </c>
      <c r="E493" s="12" t="s">
        <v>2225</v>
      </c>
      <c r="F493" s="10" t="s">
        <v>22</v>
      </c>
      <c r="G493" s="12" t="s">
        <v>55</v>
      </c>
      <c r="H493" s="81" t="s">
        <v>1225</v>
      </c>
      <c r="I493" s="10" t="s">
        <v>54</v>
      </c>
      <c r="J493" s="81" t="s">
        <v>1226</v>
      </c>
      <c r="K493" s="10" t="s">
        <v>54</v>
      </c>
      <c r="L493" s="81" t="s">
        <v>1227</v>
      </c>
      <c r="M493" s="10" t="s">
        <v>54</v>
      </c>
      <c r="N493" s="81" t="s">
        <v>1228</v>
      </c>
      <c r="O493" s="9"/>
      <c r="P493" s="11">
        <v>313</v>
      </c>
      <c r="Q493" s="7"/>
      <c r="R493" s="1"/>
    </row>
    <row r="494" spans="1:18" ht="153">
      <c r="A494" s="1"/>
      <c r="B494" s="6"/>
      <c r="C494" s="11">
        <f>SUBTOTAL(103,$D$4:D494)</f>
        <v>491</v>
      </c>
      <c r="D494" s="9" t="s">
        <v>1416</v>
      </c>
      <c r="E494" s="12" t="s">
        <v>2226</v>
      </c>
      <c r="F494" s="10" t="s">
        <v>22</v>
      </c>
      <c r="G494" s="10" t="s">
        <v>54</v>
      </c>
      <c r="H494" s="81" t="s">
        <v>1227</v>
      </c>
      <c r="I494" s="10" t="s">
        <v>54</v>
      </c>
      <c r="J494" s="81" t="s">
        <v>1229</v>
      </c>
      <c r="K494" s="12" t="s">
        <v>55</v>
      </c>
      <c r="L494" s="81" t="s">
        <v>1230</v>
      </c>
      <c r="M494" s="10" t="s">
        <v>54</v>
      </c>
      <c r="N494" s="81" t="s">
        <v>1231</v>
      </c>
      <c r="O494" s="9"/>
      <c r="P494" s="11">
        <v>314</v>
      </c>
      <c r="Q494" s="7"/>
      <c r="R494" s="1"/>
    </row>
    <row r="495" spans="1:18" ht="136">
      <c r="A495" s="1"/>
      <c r="B495" s="6"/>
      <c r="C495" s="11">
        <f>SUBTOTAL(103,$D$4:D495)</f>
        <v>492</v>
      </c>
      <c r="D495" s="9" t="s">
        <v>1416</v>
      </c>
      <c r="E495" s="12" t="s">
        <v>2227</v>
      </c>
      <c r="F495" s="10" t="s">
        <v>22</v>
      </c>
      <c r="G495" s="12" t="s">
        <v>55</v>
      </c>
      <c r="H495" s="81" t="s">
        <v>1232</v>
      </c>
      <c r="I495" s="10" t="s">
        <v>54</v>
      </c>
      <c r="J495" s="81" t="s">
        <v>1233</v>
      </c>
      <c r="K495" s="10" t="s">
        <v>54</v>
      </c>
      <c r="L495" s="81" t="s">
        <v>1234</v>
      </c>
      <c r="M495" s="10" t="s">
        <v>54</v>
      </c>
      <c r="N495" s="81" t="s">
        <v>1235</v>
      </c>
      <c r="O495" s="9"/>
      <c r="P495" s="11">
        <v>315</v>
      </c>
      <c r="Q495" s="7"/>
      <c r="R495" s="1"/>
    </row>
    <row r="496" spans="1:18" ht="119">
      <c r="A496" s="1"/>
      <c r="B496" s="6"/>
      <c r="C496" s="11">
        <f>SUBTOTAL(103,$D$4:D496)</f>
        <v>493</v>
      </c>
      <c r="D496" s="9" t="s">
        <v>1416</v>
      </c>
      <c r="E496" s="12" t="s">
        <v>1236</v>
      </c>
      <c r="F496" s="10" t="s">
        <v>22</v>
      </c>
      <c r="G496" s="10" t="s">
        <v>54</v>
      </c>
      <c r="H496" s="81" t="s">
        <v>1237</v>
      </c>
      <c r="I496" s="12" t="s">
        <v>55</v>
      </c>
      <c r="J496" s="81" t="s">
        <v>1238</v>
      </c>
      <c r="K496" s="10" t="s">
        <v>54</v>
      </c>
      <c r="L496" s="81" t="s">
        <v>1239</v>
      </c>
      <c r="M496" s="10" t="s">
        <v>54</v>
      </c>
      <c r="N496" s="81" t="s">
        <v>1240</v>
      </c>
      <c r="O496" s="9"/>
      <c r="P496" s="11">
        <v>316</v>
      </c>
      <c r="Q496" s="7"/>
      <c r="R496" s="1"/>
    </row>
    <row r="497" spans="1:18" ht="119">
      <c r="A497" s="1"/>
      <c r="B497" s="6"/>
      <c r="C497" s="11">
        <f>SUBTOTAL(103,$D$4:D497)</f>
        <v>494</v>
      </c>
      <c r="D497" s="9" t="s">
        <v>1416</v>
      </c>
      <c r="E497" s="12" t="s">
        <v>2228</v>
      </c>
      <c r="F497" s="10" t="s">
        <v>22</v>
      </c>
      <c r="G497" s="10" t="s">
        <v>54</v>
      </c>
      <c r="H497" s="81" t="s">
        <v>1241</v>
      </c>
      <c r="I497" s="10" t="s">
        <v>54</v>
      </c>
      <c r="J497" s="81" t="s">
        <v>1242</v>
      </c>
      <c r="K497" s="12" t="s">
        <v>55</v>
      </c>
      <c r="L497" s="81" t="s">
        <v>1243</v>
      </c>
      <c r="M497" s="10" t="s">
        <v>54</v>
      </c>
      <c r="N497" s="81" t="s">
        <v>1244</v>
      </c>
      <c r="O497" s="9"/>
      <c r="P497" s="11">
        <v>317</v>
      </c>
      <c r="Q497" s="7"/>
      <c r="R497" s="1"/>
    </row>
    <row r="498" spans="1:18" ht="102">
      <c r="A498" s="1"/>
      <c r="B498" s="6"/>
      <c r="C498" s="11">
        <f>SUBTOTAL(103,$D$4:D498)</f>
        <v>495</v>
      </c>
      <c r="D498" s="9" t="s">
        <v>1416</v>
      </c>
      <c r="E498" s="12" t="s">
        <v>1245</v>
      </c>
      <c r="F498" s="10" t="s">
        <v>22</v>
      </c>
      <c r="G498" s="10" t="s">
        <v>54</v>
      </c>
      <c r="H498" s="81" t="s">
        <v>1246</v>
      </c>
      <c r="I498" s="10" t="s">
        <v>54</v>
      </c>
      <c r="J498" s="81" t="s">
        <v>1247</v>
      </c>
      <c r="K498" s="10" t="s">
        <v>54</v>
      </c>
      <c r="L498" s="81" t="s">
        <v>1248</v>
      </c>
      <c r="M498" s="12" t="s">
        <v>55</v>
      </c>
      <c r="N498" s="81" t="s">
        <v>67</v>
      </c>
      <c r="O498" s="9"/>
      <c r="P498" s="11">
        <v>318</v>
      </c>
      <c r="Q498" s="7"/>
      <c r="R498" s="1"/>
    </row>
    <row r="499" spans="1:18" ht="119">
      <c r="A499" s="1"/>
      <c r="B499" s="6"/>
      <c r="C499" s="11">
        <f>SUBTOTAL(103,$D$4:D499)</f>
        <v>496</v>
      </c>
      <c r="D499" s="9" t="s">
        <v>1416</v>
      </c>
      <c r="E499" s="12" t="s">
        <v>2229</v>
      </c>
      <c r="F499" s="10" t="s">
        <v>22</v>
      </c>
      <c r="G499" s="10" t="s">
        <v>54</v>
      </c>
      <c r="H499" s="81" t="s">
        <v>1249</v>
      </c>
      <c r="I499" s="10" t="s">
        <v>54</v>
      </c>
      <c r="J499" s="81" t="s">
        <v>1250</v>
      </c>
      <c r="K499" s="10" t="s">
        <v>54</v>
      </c>
      <c r="L499" s="81" t="s">
        <v>1251</v>
      </c>
      <c r="M499" s="12" t="s">
        <v>55</v>
      </c>
      <c r="N499" s="81" t="s">
        <v>1252</v>
      </c>
      <c r="O499" s="9"/>
      <c r="P499" s="11">
        <v>319</v>
      </c>
      <c r="Q499" s="7"/>
      <c r="R499" s="1"/>
    </row>
    <row r="500" spans="1:18" ht="119">
      <c r="A500" s="1"/>
      <c r="B500" s="6"/>
      <c r="C500" s="11">
        <f>SUBTOTAL(103,$D$4:D500)</f>
        <v>497</v>
      </c>
      <c r="D500" s="9" t="s">
        <v>1416</v>
      </c>
      <c r="E500" s="12" t="s">
        <v>2230</v>
      </c>
      <c r="F500" s="10" t="s">
        <v>22</v>
      </c>
      <c r="G500" s="10" t="s">
        <v>54</v>
      </c>
      <c r="H500" s="81" t="s">
        <v>1253</v>
      </c>
      <c r="I500" s="10" t="s">
        <v>54</v>
      </c>
      <c r="J500" s="81" t="s">
        <v>1254</v>
      </c>
      <c r="K500" s="12" t="s">
        <v>55</v>
      </c>
      <c r="L500" s="81" t="s">
        <v>1255</v>
      </c>
      <c r="M500" s="10" t="s">
        <v>54</v>
      </c>
      <c r="N500" s="81" t="s">
        <v>1256</v>
      </c>
      <c r="O500" s="9"/>
      <c r="P500" s="11">
        <v>320</v>
      </c>
      <c r="Q500" s="7"/>
      <c r="R500" s="1"/>
    </row>
    <row r="501" spans="1:18" ht="68">
      <c r="A501" s="1"/>
      <c r="B501" s="6"/>
      <c r="C501" s="11">
        <f>SUBTOTAL(103,$D$4:D501)</f>
        <v>498</v>
      </c>
      <c r="D501" s="9" t="s">
        <v>1416</v>
      </c>
      <c r="E501" s="12" t="s">
        <v>1257</v>
      </c>
      <c r="F501" s="10" t="s">
        <v>22</v>
      </c>
      <c r="G501" s="10" t="s">
        <v>54</v>
      </c>
      <c r="H501" s="81" t="s">
        <v>1082</v>
      </c>
      <c r="I501" s="10" t="s">
        <v>54</v>
      </c>
      <c r="J501" s="81" t="s">
        <v>1083</v>
      </c>
      <c r="K501" s="12" t="s">
        <v>55</v>
      </c>
      <c r="L501" s="81" t="s">
        <v>1258</v>
      </c>
      <c r="M501" s="10" t="s">
        <v>54</v>
      </c>
      <c r="N501" s="81" t="s">
        <v>1259</v>
      </c>
      <c r="O501" s="9"/>
      <c r="P501" s="11">
        <v>321</v>
      </c>
      <c r="Q501" s="7"/>
      <c r="R501" s="1"/>
    </row>
    <row r="502" spans="1:18" ht="68">
      <c r="A502" s="1"/>
      <c r="B502" s="6"/>
      <c r="C502" s="11">
        <f>SUBTOTAL(103,$D$4:D502)</f>
        <v>499</v>
      </c>
      <c r="D502" s="9" t="s">
        <v>1416</v>
      </c>
      <c r="E502" s="12" t="s">
        <v>1260</v>
      </c>
      <c r="F502" s="10" t="s">
        <v>22</v>
      </c>
      <c r="G502" s="10" t="s">
        <v>54</v>
      </c>
      <c r="H502" s="81" t="s">
        <v>1082</v>
      </c>
      <c r="I502" s="10" t="s">
        <v>54</v>
      </c>
      <c r="J502" s="81" t="s">
        <v>1083</v>
      </c>
      <c r="K502" s="10" t="s">
        <v>54</v>
      </c>
      <c r="L502" s="81" t="s">
        <v>1258</v>
      </c>
      <c r="M502" s="12" t="s">
        <v>55</v>
      </c>
      <c r="N502" s="81" t="s">
        <v>1259</v>
      </c>
      <c r="O502" s="9"/>
      <c r="P502" s="11">
        <v>322</v>
      </c>
      <c r="Q502" s="7"/>
      <c r="R502" s="1"/>
    </row>
    <row r="503" spans="1:18" ht="119">
      <c r="A503" s="1"/>
      <c r="B503" s="6"/>
      <c r="C503" s="11">
        <f>SUBTOTAL(103,$D$4:D503)</f>
        <v>500</v>
      </c>
      <c r="D503" s="9" t="s">
        <v>1416</v>
      </c>
      <c r="E503" s="12" t="s">
        <v>2231</v>
      </c>
      <c r="F503" s="10" t="s">
        <v>22</v>
      </c>
      <c r="G503" s="10" t="s">
        <v>54</v>
      </c>
      <c r="H503" s="81" t="s">
        <v>1261</v>
      </c>
      <c r="I503" s="10" t="s">
        <v>54</v>
      </c>
      <c r="J503" s="81" t="s">
        <v>1262</v>
      </c>
      <c r="K503" s="12" t="s">
        <v>55</v>
      </c>
      <c r="L503" s="81" t="s">
        <v>1263</v>
      </c>
      <c r="M503" s="10" t="s">
        <v>54</v>
      </c>
      <c r="N503" s="81" t="s">
        <v>914</v>
      </c>
      <c r="O503" s="9"/>
      <c r="P503" s="11">
        <v>323</v>
      </c>
      <c r="Q503" s="7"/>
      <c r="R503" s="1"/>
    </row>
    <row r="504" spans="1:18" ht="204">
      <c r="A504" s="1"/>
      <c r="B504" s="6"/>
      <c r="C504" s="11">
        <f>SUBTOTAL(103,$D$4:D504)</f>
        <v>501</v>
      </c>
      <c r="D504" s="9" t="s">
        <v>1416</v>
      </c>
      <c r="E504" s="12" t="s">
        <v>2232</v>
      </c>
      <c r="F504" s="10" t="s">
        <v>22</v>
      </c>
      <c r="G504" s="10" t="s">
        <v>54</v>
      </c>
      <c r="H504" s="81" t="s">
        <v>2187</v>
      </c>
      <c r="I504" s="10" t="s">
        <v>54</v>
      </c>
      <c r="J504" s="81" t="s">
        <v>2185</v>
      </c>
      <c r="K504" s="12" t="s">
        <v>55</v>
      </c>
      <c r="L504" s="81" t="s">
        <v>1242</v>
      </c>
      <c r="M504" s="10" t="s">
        <v>54</v>
      </c>
      <c r="N504" s="81" t="s">
        <v>2186</v>
      </c>
      <c r="O504" s="9" t="s">
        <v>2188</v>
      </c>
      <c r="P504" s="11"/>
      <c r="Q504" s="7"/>
      <c r="R504" s="1"/>
    </row>
    <row r="505" spans="1:18" ht="119">
      <c r="A505" s="1"/>
      <c r="B505" s="6"/>
      <c r="C505" s="11">
        <f>SUBTOTAL(103,$D$4:D505)</f>
        <v>502</v>
      </c>
      <c r="D505" s="9" t="s">
        <v>1416</v>
      </c>
      <c r="E505" s="12" t="s">
        <v>2233</v>
      </c>
      <c r="F505" s="10" t="s">
        <v>12</v>
      </c>
      <c r="G505" s="10" t="s">
        <v>54</v>
      </c>
      <c r="H505" s="81" t="s">
        <v>2189</v>
      </c>
      <c r="I505" s="12" t="s">
        <v>55</v>
      </c>
      <c r="J505" s="81" t="s">
        <v>2190</v>
      </c>
      <c r="K505" s="12" t="s">
        <v>55</v>
      </c>
      <c r="L505" s="81" t="s">
        <v>2191</v>
      </c>
      <c r="M505" s="10" t="s">
        <v>54</v>
      </c>
      <c r="N505" s="81" t="s">
        <v>2192</v>
      </c>
      <c r="O505" s="9"/>
      <c r="P505" s="104" t="s">
        <v>2437</v>
      </c>
      <c r="Q505" s="7"/>
      <c r="R505" s="1"/>
    </row>
    <row r="506" spans="1:18" ht="187">
      <c r="A506" s="1"/>
      <c r="B506" s="6"/>
      <c r="C506" s="11">
        <f>SUBTOTAL(103,$D$4:D506)</f>
        <v>503</v>
      </c>
      <c r="D506" s="9" t="s">
        <v>1416</v>
      </c>
      <c r="E506" s="12" t="s">
        <v>2234</v>
      </c>
      <c r="F506" s="10" t="s">
        <v>22</v>
      </c>
      <c r="G506" s="12" t="s">
        <v>55</v>
      </c>
      <c r="H506" s="81" t="s">
        <v>2193</v>
      </c>
      <c r="I506" s="10" t="s">
        <v>54</v>
      </c>
      <c r="J506" s="81" t="s">
        <v>2194</v>
      </c>
      <c r="K506" s="10" t="s">
        <v>54</v>
      </c>
      <c r="L506" s="81" t="s">
        <v>2195</v>
      </c>
      <c r="M506" s="10" t="s">
        <v>54</v>
      </c>
      <c r="N506" s="81" t="s">
        <v>2196</v>
      </c>
      <c r="O506" s="9"/>
      <c r="P506" s="104" t="s">
        <v>2437</v>
      </c>
      <c r="Q506" s="7"/>
      <c r="R506" s="1"/>
    </row>
    <row r="507" spans="1:18" ht="153">
      <c r="A507" s="1"/>
      <c r="B507" s="6"/>
      <c r="C507" s="11">
        <f>SUBTOTAL(103,$D$4:D507)</f>
        <v>504</v>
      </c>
      <c r="D507" s="9" t="s">
        <v>1416</v>
      </c>
      <c r="E507" s="12" t="s">
        <v>2235</v>
      </c>
      <c r="F507" s="92" t="s">
        <v>12</v>
      </c>
      <c r="G507" s="10" t="s">
        <v>54</v>
      </c>
      <c r="H507" s="81" t="s">
        <v>2197</v>
      </c>
      <c r="I507" s="12" t="s">
        <v>55</v>
      </c>
      <c r="J507" s="81" t="s">
        <v>2198</v>
      </c>
      <c r="K507" s="10" t="s">
        <v>54</v>
      </c>
      <c r="L507" s="81" t="s">
        <v>2199</v>
      </c>
      <c r="M507" s="12" t="s">
        <v>55</v>
      </c>
      <c r="N507" s="81" t="s">
        <v>2200</v>
      </c>
      <c r="O507" s="9"/>
      <c r="P507" s="104" t="s">
        <v>2437</v>
      </c>
      <c r="Q507" s="7"/>
      <c r="R507" s="1"/>
    </row>
    <row r="508" spans="1:18" ht="170">
      <c r="A508" s="1"/>
      <c r="B508" s="6"/>
      <c r="C508" s="11">
        <f>SUBTOTAL(103,$D$4:D508)</f>
        <v>505</v>
      </c>
      <c r="D508" s="9" t="s">
        <v>1416</v>
      </c>
      <c r="E508" s="12" t="s">
        <v>2236</v>
      </c>
      <c r="F508" s="10" t="s">
        <v>22</v>
      </c>
      <c r="G508" s="10" t="s">
        <v>54</v>
      </c>
      <c r="H508" s="81" t="s">
        <v>2201</v>
      </c>
      <c r="I508" s="10" t="s">
        <v>54</v>
      </c>
      <c r="J508" s="81" t="s">
        <v>2202</v>
      </c>
      <c r="K508" s="10" t="s">
        <v>54</v>
      </c>
      <c r="L508" s="81" t="s">
        <v>2203</v>
      </c>
      <c r="M508" s="12" t="s">
        <v>55</v>
      </c>
      <c r="N508" s="81" t="s">
        <v>2193</v>
      </c>
      <c r="O508" s="9"/>
      <c r="P508" s="104" t="s">
        <v>2437</v>
      </c>
      <c r="Q508" s="7"/>
      <c r="R508" s="1"/>
    </row>
    <row r="509" spans="1:18" ht="153">
      <c r="A509" s="1"/>
      <c r="B509" s="6"/>
      <c r="C509" s="11">
        <f>SUBTOTAL(103,$D$4:D509)</f>
        <v>506</v>
      </c>
      <c r="D509" s="9" t="s">
        <v>1416</v>
      </c>
      <c r="E509" s="12" t="s">
        <v>2237</v>
      </c>
      <c r="F509" s="92" t="s">
        <v>12</v>
      </c>
      <c r="G509" s="12" t="s">
        <v>55</v>
      </c>
      <c r="H509" s="81" t="s">
        <v>2204</v>
      </c>
      <c r="I509" s="12" t="s">
        <v>55</v>
      </c>
      <c r="J509" s="81" t="s">
        <v>2205</v>
      </c>
      <c r="K509" s="12" t="s">
        <v>55</v>
      </c>
      <c r="L509" s="81" t="s">
        <v>2206</v>
      </c>
      <c r="M509" s="10" t="s">
        <v>54</v>
      </c>
      <c r="N509" s="81" t="s">
        <v>2207</v>
      </c>
      <c r="O509" s="9"/>
      <c r="P509" s="104" t="s">
        <v>2437</v>
      </c>
      <c r="Q509" s="7"/>
      <c r="R509" s="1"/>
    </row>
    <row r="510" spans="1:18" ht="136">
      <c r="A510" s="1"/>
      <c r="B510" s="6"/>
      <c r="C510" s="11">
        <f>SUBTOTAL(103,$D$4:D510)</f>
        <v>507</v>
      </c>
      <c r="D510" s="9" t="s">
        <v>1416</v>
      </c>
      <c r="E510" s="12" t="s">
        <v>2238</v>
      </c>
      <c r="F510" s="10" t="s">
        <v>22</v>
      </c>
      <c r="G510" s="12" t="s">
        <v>55</v>
      </c>
      <c r="H510" s="97" t="s">
        <v>2208</v>
      </c>
      <c r="I510" s="10" t="s">
        <v>54</v>
      </c>
      <c r="J510" s="97" t="s">
        <v>2209</v>
      </c>
      <c r="K510" s="10" t="s">
        <v>54</v>
      </c>
      <c r="L510" s="81" t="s">
        <v>2210</v>
      </c>
      <c r="M510" s="10" t="s">
        <v>54</v>
      </c>
      <c r="N510" s="81" t="s">
        <v>2193</v>
      </c>
      <c r="O510" s="9"/>
      <c r="P510" s="104" t="s">
        <v>2437</v>
      </c>
      <c r="Q510" s="7"/>
      <c r="R510" s="1"/>
    </row>
    <row r="511" spans="1:18" ht="136">
      <c r="A511" s="1"/>
      <c r="B511" s="6"/>
      <c r="C511" s="11">
        <f>SUBTOTAL(103,$D$4:D511)</f>
        <v>508</v>
      </c>
      <c r="D511" s="9" t="s">
        <v>1416</v>
      </c>
      <c r="E511" s="12" t="s">
        <v>2239</v>
      </c>
      <c r="F511" s="92" t="s">
        <v>22</v>
      </c>
      <c r="G511" s="10" t="s">
        <v>54</v>
      </c>
      <c r="H511" s="81" t="s">
        <v>2211</v>
      </c>
      <c r="I511" s="10" t="s">
        <v>54</v>
      </c>
      <c r="J511" s="81" t="s">
        <v>2212</v>
      </c>
      <c r="K511" s="10" t="s">
        <v>54</v>
      </c>
      <c r="L511" s="81" t="s">
        <v>2213</v>
      </c>
      <c r="M511" s="12" t="s">
        <v>55</v>
      </c>
      <c r="N511" s="81" t="s">
        <v>2214</v>
      </c>
      <c r="O511" s="9"/>
      <c r="P511" s="104" t="s">
        <v>2437</v>
      </c>
      <c r="Q511" s="7"/>
      <c r="R511" s="1"/>
    </row>
    <row r="512" spans="1:18" ht="136">
      <c r="A512" s="1"/>
      <c r="B512" s="6"/>
      <c r="C512" s="11">
        <f>SUBTOTAL(103,$D$4:D512)</f>
        <v>509</v>
      </c>
      <c r="D512" s="9" t="s">
        <v>1416</v>
      </c>
      <c r="E512" s="12" t="s">
        <v>2240</v>
      </c>
      <c r="F512" s="92" t="s">
        <v>12</v>
      </c>
      <c r="G512" s="12" t="s">
        <v>55</v>
      </c>
      <c r="H512" s="81" t="s">
        <v>2215</v>
      </c>
      <c r="I512" s="12" t="s">
        <v>55</v>
      </c>
      <c r="J512" s="81" t="s">
        <v>2216</v>
      </c>
      <c r="K512" s="10" t="s">
        <v>54</v>
      </c>
      <c r="L512" s="81" t="s">
        <v>2217</v>
      </c>
      <c r="M512" s="10" t="s">
        <v>54</v>
      </c>
      <c r="N512" s="81" t="s">
        <v>2218</v>
      </c>
      <c r="O512" s="9"/>
      <c r="P512" s="104" t="s">
        <v>2437</v>
      </c>
      <c r="Q512" s="7"/>
      <c r="R512" s="1"/>
    </row>
    <row r="513" spans="1:18" ht="170">
      <c r="A513" s="1"/>
      <c r="B513" s="6"/>
      <c r="C513" s="11">
        <f>SUBTOTAL(103,$D$4:D513)</f>
        <v>510</v>
      </c>
      <c r="D513" s="9" t="s">
        <v>1416</v>
      </c>
      <c r="E513" s="12" t="s">
        <v>2241</v>
      </c>
      <c r="F513" s="92" t="s">
        <v>12</v>
      </c>
      <c r="G513" s="10" t="s">
        <v>54</v>
      </c>
      <c r="H513" s="81" t="s">
        <v>2219</v>
      </c>
      <c r="I513" s="12" t="s">
        <v>55</v>
      </c>
      <c r="J513" s="81" t="s">
        <v>2220</v>
      </c>
      <c r="K513" s="12" t="s">
        <v>55</v>
      </c>
      <c r="L513" s="81" t="s">
        <v>2221</v>
      </c>
      <c r="M513" s="10" t="s">
        <v>54</v>
      </c>
      <c r="N513" s="81" t="s">
        <v>2193</v>
      </c>
      <c r="O513" s="9"/>
      <c r="P513" s="104" t="s">
        <v>2437</v>
      </c>
      <c r="Q513" s="7"/>
      <c r="R513" s="1"/>
    </row>
    <row r="514" spans="1:18" ht="187">
      <c r="A514" s="1"/>
      <c r="B514" s="6"/>
      <c r="C514" s="11">
        <f>SUBTOTAL(103,$D$4:D514)</f>
        <v>511</v>
      </c>
      <c r="D514" s="9" t="s">
        <v>1416</v>
      </c>
      <c r="E514" s="12" t="s">
        <v>2242</v>
      </c>
      <c r="F514" s="10" t="s">
        <v>12</v>
      </c>
      <c r="G514" s="10" t="s">
        <v>54</v>
      </c>
      <c r="H514" s="97" t="s">
        <v>2222</v>
      </c>
      <c r="I514" s="12" t="s">
        <v>55</v>
      </c>
      <c r="J514" s="97" t="s">
        <v>2223</v>
      </c>
      <c r="K514" s="12" t="s">
        <v>55</v>
      </c>
      <c r="L514" s="81" t="s">
        <v>2224</v>
      </c>
      <c r="M514" s="10" t="s">
        <v>54</v>
      </c>
      <c r="N514" s="81" t="s">
        <v>2193</v>
      </c>
      <c r="O514" s="9"/>
      <c r="P514" s="104" t="s">
        <v>2437</v>
      </c>
      <c r="Q514" s="7"/>
      <c r="R514" s="1"/>
    </row>
    <row r="515" spans="1:18" ht="34">
      <c r="A515" s="1"/>
      <c r="B515" s="6"/>
      <c r="C515" s="11">
        <f>SUBTOTAL(103,$D$4:D515)</f>
        <v>512</v>
      </c>
      <c r="D515" s="9" t="s">
        <v>1416</v>
      </c>
      <c r="E515" s="12" t="s">
        <v>2320</v>
      </c>
      <c r="F515" s="10" t="s">
        <v>22</v>
      </c>
      <c r="G515" s="10" t="s">
        <v>54</v>
      </c>
      <c r="H515" s="81" t="s">
        <v>1163</v>
      </c>
      <c r="I515" s="12" t="s">
        <v>55</v>
      </c>
      <c r="J515" s="81" t="s">
        <v>1160</v>
      </c>
      <c r="K515" s="10" t="s">
        <v>54</v>
      </c>
      <c r="L515" s="81" t="s">
        <v>1164</v>
      </c>
      <c r="M515" s="10" t="s">
        <v>54</v>
      </c>
      <c r="N515" s="81" t="s">
        <v>1165</v>
      </c>
      <c r="O515" s="9"/>
      <c r="P515" s="9"/>
      <c r="Q515" s="7"/>
      <c r="R515" s="1"/>
    </row>
    <row r="516" spans="1:18" ht="153">
      <c r="A516" s="1"/>
      <c r="B516" s="6"/>
      <c r="C516" s="11">
        <f>SUBTOTAL(103,$D$4:D516)</f>
        <v>513</v>
      </c>
      <c r="D516" s="9" t="s">
        <v>1416</v>
      </c>
      <c r="E516" s="12" t="s">
        <v>1536</v>
      </c>
      <c r="F516" s="10" t="s">
        <v>22</v>
      </c>
      <c r="G516" s="10" t="s">
        <v>54</v>
      </c>
      <c r="H516" s="86" t="s">
        <v>1547</v>
      </c>
      <c r="I516" s="10" t="s">
        <v>54</v>
      </c>
      <c r="J516" s="88" t="s">
        <v>1548</v>
      </c>
      <c r="K516" s="12" t="s">
        <v>55</v>
      </c>
      <c r="L516" s="12" t="s">
        <v>1549</v>
      </c>
      <c r="M516" s="10" t="s">
        <v>54</v>
      </c>
      <c r="N516" s="12" t="s">
        <v>1550</v>
      </c>
      <c r="O516" s="9"/>
      <c r="P516" s="9"/>
      <c r="Q516" s="7"/>
      <c r="R516" s="1"/>
    </row>
    <row r="517" spans="1:18" ht="272">
      <c r="A517" s="1"/>
      <c r="B517" s="6"/>
      <c r="C517" s="11">
        <f>SUBTOTAL(103,$D$4:D517)</f>
        <v>514</v>
      </c>
      <c r="D517" s="9" t="s">
        <v>1416</v>
      </c>
      <c r="E517" s="12" t="s">
        <v>1537</v>
      </c>
      <c r="F517" s="10" t="s">
        <v>22</v>
      </c>
      <c r="G517" s="10" t="s">
        <v>54</v>
      </c>
      <c r="H517" s="86" t="s">
        <v>1543</v>
      </c>
      <c r="I517" s="10" t="s">
        <v>54</v>
      </c>
      <c r="J517" s="88" t="s">
        <v>1544</v>
      </c>
      <c r="K517" s="10" t="s">
        <v>54</v>
      </c>
      <c r="L517" s="12" t="s">
        <v>1545</v>
      </c>
      <c r="M517" s="12" t="s">
        <v>55</v>
      </c>
      <c r="N517" s="12" t="s">
        <v>1546</v>
      </c>
      <c r="O517" s="9"/>
      <c r="P517" s="9"/>
      <c r="Q517" s="7"/>
      <c r="R517" s="1"/>
    </row>
    <row r="518" spans="1:18" ht="255">
      <c r="A518" s="1"/>
      <c r="B518" s="6"/>
      <c r="C518" s="11">
        <f>SUBTOTAL(103,$D$4:D518)</f>
        <v>515</v>
      </c>
      <c r="D518" s="9" t="s">
        <v>1416</v>
      </c>
      <c r="E518" s="12" t="s">
        <v>1538</v>
      </c>
      <c r="F518" s="10" t="s">
        <v>22</v>
      </c>
      <c r="G518" s="10" t="s">
        <v>54</v>
      </c>
      <c r="H518" s="86" t="s">
        <v>1539</v>
      </c>
      <c r="I518" s="10" t="s">
        <v>54</v>
      </c>
      <c r="J518" s="88" t="s">
        <v>1540</v>
      </c>
      <c r="K518" s="12" t="s">
        <v>55</v>
      </c>
      <c r="L518" s="12" t="s">
        <v>1541</v>
      </c>
      <c r="M518" s="10" t="s">
        <v>54</v>
      </c>
      <c r="N518" s="12" t="s">
        <v>1542</v>
      </c>
      <c r="O518" s="9"/>
      <c r="P518" s="9"/>
      <c r="Q518" s="7"/>
      <c r="R518" s="1"/>
    </row>
    <row r="519" spans="1:18" ht="68">
      <c r="A519" s="1"/>
      <c r="B519" s="6"/>
      <c r="C519" s="11">
        <f>SUBTOTAL(103,$D$4:D519)</f>
        <v>516</v>
      </c>
      <c r="D519" s="9" t="s">
        <v>1416</v>
      </c>
      <c r="E519" s="12" t="s">
        <v>1602</v>
      </c>
      <c r="F519" s="10" t="s">
        <v>8</v>
      </c>
      <c r="G519" s="12" t="s">
        <v>55</v>
      </c>
      <c r="H519" s="80" t="s">
        <v>10</v>
      </c>
      <c r="I519" s="10" t="s">
        <v>54</v>
      </c>
      <c r="J519" s="12" t="s">
        <v>9</v>
      </c>
      <c r="K519" s="10" t="s">
        <v>54</v>
      </c>
      <c r="L519" s="81" t="s">
        <v>177</v>
      </c>
      <c r="M519" s="10" t="s">
        <v>54</v>
      </c>
      <c r="N519" s="81" t="s">
        <v>177</v>
      </c>
      <c r="O519" s="9"/>
      <c r="P519" s="9"/>
      <c r="Q519" s="7"/>
      <c r="R519" s="1"/>
    </row>
    <row r="520" spans="1:18" ht="34">
      <c r="A520" s="1"/>
      <c r="B520" s="6"/>
      <c r="C520" s="11">
        <f>SUBTOTAL(103,$D$4:D520)</f>
        <v>517</v>
      </c>
      <c r="D520" s="9" t="s">
        <v>1416</v>
      </c>
      <c r="E520" s="12" t="s">
        <v>1603</v>
      </c>
      <c r="F520" s="10" t="s">
        <v>22</v>
      </c>
      <c r="G520" s="10" t="s">
        <v>54</v>
      </c>
      <c r="H520" s="86" t="s">
        <v>1604</v>
      </c>
      <c r="I520" s="10" t="s">
        <v>54</v>
      </c>
      <c r="J520" s="88" t="s">
        <v>1605</v>
      </c>
      <c r="K520" s="12" t="s">
        <v>55</v>
      </c>
      <c r="L520" s="12" t="s">
        <v>1606</v>
      </c>
      <c r="M520" s="10" t="s">
        <v>54</v>
      </c>
      <c r="N520" s="80" t="s">
        <v>1607</v>
      </c>
      <c r="O520" s="9"/>
      <c r="P520" s="9"/>
      <c r="Q520" s="7"/>
      <c r="R520" s="1"/>
    </row>
    <row r="521" spans="1:18" ht="68">
      <c r="A521" s="1"/>
      <c r="B521" s="6"/>
      <c r="C521" s="11">
        <f>SUBTOTAL(103,$D$4:D521)</f>
        <v>518</v>
      </c>
      <c r="D521" s="9" t="s">
        <v>1416</v>
      </c>
      <c r="E521" s="12" t="s">
        <v>1608</v>
      </c>
      <c r="F521" s="10" t="s">
        <v>8</v>
      </c>
      <c r="G521" s="12" t="s">
        <v>55</v>
      </c>
      <c r="H521" s="86" t="s">
        <v>10</v>
      </c>
      <c r="I521" s="10" t="s">
        <v>54</v>
      </c>
      <c r="J521" s="88" t="s">
        <v>9</v>
      </c>
      <c r="K521" s="10" t="s">
        <v>54</v>
      </c>
      <c r="L521" s="81" t="s">
        <v>177</v>
      </c>
      <c r="M521" s="10" t="s">
        <v>54</v>
      </c>
      <c r="N521" s="81" t="s">
        <v>177</v>
      </c>
      <c r="O521" s="9"/>
      <c r="P521" s="9"/>
      <c r="Q521" s="7"/>
      <c r="R521" s="1"/>
    </row>
    <row r="522" spans="1:18" ht="85">
      <c r="A522" s="1"/>
      <c r="B522" s="6"/>
      <c r="C522" s="11">
        <f>SUBTOTAL(103,$D$4:D522)</f>
        <v>519</v>
      </c>
      <c r="D522" s="9" t="s">
        <v>1416</v>
      </c>
      <c r="E522" s="12" t="s">
        <v>1609</v>
      </c>
      <c r="F522" s="10" t="s">
        <v>22</v>
      </c>
      <c r="G522" s="10" t="s">
        <v>54</v>
      </c>
      <c r="H522" s="80" t="s">
        <v>1613</v>
      </c>
      <c r="I522" s="10" t="s">
        <v>54</v>
      </c>
      <c r="J522" s="12" t="s">
        <v>1612</v>
      </c>
      <c r="K522" s="10" t="s">
        <v>54</v>
      </c>
      <c r="L522" s="12" t="s">
        <v>1611</v>
      </c>
      <c r="M522" s="12" t="s">
        <v>55</v>
      </c>
      <c r="N522" s="80" t="s">
        <v>1610</v>
      </c>
      <c r="O522" s="9"/>
      <c r="P522" s="9"/>
      <c r="Q522" s="7"/>
      <c r="R522" s="1"/>
    </row>
    <row r="523" spans="1:18" ht="68">
      <c r="A523" s="1"/>
      <c r="B523" s="6"/>
      <c r="C523" s="11">
        <f>SUBTOTAL(103,$D$4:D523)</f>
        <v>520</v>
      </c>
      <c r="D523" s="9" t="s">
        <v>1416</v>
      </c>
      <c r="E523" s="12" t="s">
        <v>1614</v>
      </c>
      <c r="F523" s="10" t="s">
        <v>8</v>
      </c>
      <c r="G523" s="10" t="s">
        <v>54</v>
      </c>
      <c r="H523" s="80" t="s">
        <v>10</v>
      </c>
      <c r="I523" s="10" t="s">
        <v>55</v>
      </c>
      <c r="J523" s="12" t="s">
        <v>9</v>
      </c>
      <c r="K523" s="10" t="s">
        <v>54</v>
      </c>
      <c r="L523" s="81" t="s">
        <v>177</v>
      </c>
      <c r="M523" s="10" t="s">
        <v>54</v>
      </c>
      <c r="N523" s="81" t="s">
        <v>177</v>
      </c>
      <c r="O523" s="9"/>
      <c r="P523" s="9"/>
      <c r="Q523" s="7"/>
      <c r="R523" s="1"/>
    </row>
    <row r="524" spans="1:18" ht="51">
      <c r="A524" s="1"/>
      <c r="B524" s="6"/>
      <c r="C524" s="11">
        <f>SUBTOTAL(103,$D$4:D524)</f>
        <v>521</v>
      </c>
      <c r="D524" s="9" t="s">
        <v>1416</v>
      </c>
      <c r="E524" s="12" t="s">
        <v>1615</v>
      </c>
      <c r="F524" s="10" t="s">
        <v>8</v>
      </c>
      <c r="G524" s="10" t="s">
        <v>54</v>
      </c>
      <c r="H524" s="80" t="s">
        <v>10</v>
      </c>
      <c r="I524" s="10" t="s">
        <v>55</v>
      </c>
      <c r="J524" s="12" t="s">
        <v>9</v>
      </c>
      <c r="K524" s="10" t="s">
        <v>54</v>
      </c>
      <c r="L524" s="81" t="s">
        <v>177</v>
      </c>
      <c r="M524" s="10" t="s">
        <v>54</v>
      </c>
      <c r="N524" s="81" t="s">
        <v>177</v>
      </c>
      <c r="O524" s="9"/>
      <c r="P524" s="9"/>
      <c r="Q524" s="7"/>
      <c r="R524" s="1"/>
    </row>
    <row r="525" spans="1:18" ht="34">
      <c r="A525" s="1"/>
      <c r="B525" s="6"/>
      <c r="C525" s="11">
        <f>SUBTOTAL(103,$D$4:D525)</f>
        <v>522</v>
      </c>
      <c r="D525" s="9" t="s">
        <v>1416</v>
      </c>
      <c r="E525" s="12" t="s">
        <v>1616</v>
      </c>
      <c r="F525" s="10" t="s">
        <v>8</v>
      </c>
      <c r="G525" s="10" t="s">
        <v>54</v>
      </c>
      <c r="H525" s="80" t="s">
        <v>10</v>
      </c>
      <c r="I525" s="10" t="s">
        <v>55</v>
      </c>
      <c r="J525" s="12" t="s">
        <v>9</v>
      </c>
      <c r="K525" s="10" t="s">
        <v>54</v>
      </c>
      <c r="L525" s="81" t="s">
        <v>177</v>
      </c>
      <c r="M525" s="10" t="s">
        <v>54</v>
      </c>
      <c r="N525" s="81" t="s">
        <v>177</v>
      </c>
      <c r="O525" s="9"/>
      <c r="P525" s="9"/>
      <c r="Q525" s="7"/>
      <c r="R525" s="1"/>
    </row>
    <row r="526" spans="1:18" ht="51">
      <c r="A526" s="1"/>
      <c r="B526" s="6"/>
      <c r="C526" s="11">
        <f>SUBTOTAL(103,$D$4:D526)</f>
        <v>523</v>
      </c>
      <c r="D526" s="9" t="s">
        <v>1416</v>
      </c>
      <c r="E526" s="12" t="s">
        <v>1617</v>
      </c>
      <c r="F526" s="10" t="s">
        <v>22</v>
      </c>
      <c r="G526" s="10" t="s">
        <v>54</v>
      </c>
      <c r="H526" s="80" t="s">
        <v>1618</v>
      </c>
      <c r="I526" s="10" t="s">
        <v>55</v>
      </c>
      <c r="J526" s="12" t="s">
        <v>1620</v>
      </c>
      <c r="K526" s="10" t="s">
        <v>54</v>
      </c>
      <c r="L526" s="12" t="s">
        <v>1605</v>
      </c>
      <c r="M526" s="10" t="s">
        <v>54</v>
      </c>
      <c r="N526" s="80" t="s">
        <v>1619</v>
      </c>
      <c r="O526" s="9"/>
      <c r="P526" s="9"/>
      <c r="Q526" s="7"/>
      <c r="R526" s="1"/>
    </row>
    <row r="527" spans="1:18" ht="51">
      <c r="A527" s="1"/>
      <c r="B527" s="6"/>
      <c r="C527" s="11">
        <f>SUBTOTAL(103,$D$4:D527)</f>
        <v>524</v>
      </c>
      <c r="D527" s="9" t="s">
        <v>1416</v>
      </c>
      <c r="E527" s="12" t="s">
        <v>1621</v>
      </c>
      <c r="F527" s="10" t="s">
        <v>8</v>
      </c>
      <c r="G527" s="12" t="s">
        <v>55</v>
      </c>
      <c r="H527" s="80" t="s">
        <v>10</v>
      </c>
      <c r="I527" s="10" t="s">
        <v>54</v>
      </c>
      <c r="J527" s="12" t="s">
        <v>9</v>
      </c>
      <c r="K527" s="10" t="s">
        <v>54</v>
      </c>
      <c r="L527" s="81" t="s">
        <v>177</v>
      </c>
      <c r="M527" s="10" t="s">
        <v>54</v>
      </c>
      <c r="N527" s="81" t="s">
        <v>177</v>
      </c>
      <c r="O527" s="9"/>
      <c r="P527" s="9"/>
      <c r="Q527" s="7"/>
      <c r="R527" s="1"/>
    </row>
    <row r="528" spans="1:18" ht="68">
      <c r="A528" s="1"/>
      <c r="B528" s="6"/>
      <c r="C528" s="11">
        <f>SUBTOTAL(103,$D$4:D528)</f>
        <v>525</v>
      </c>
      <c r="D528" s="9" t="s">
        <v>1416</v>
      </c>
      <c r="E528" s="12" t="s">
        <v>1622</v>
      </c>
      <c r="F528" s="10" t="s">
        <v>22</v>
      </c>
      <c r="G528" s="12" t="s">
        <v>55</v>
      </c>
      <c r="H528" s="80" t="s">
        <v>1619</v>
      </c>
      <c r="I528" s="10" t="s">
        <v>54</v>
      </c>
      <c r="J528" s="12" t="s">
        <v>1623</v>
      </c>
      <c r="K528" s="10" t="s">
        <v>54</v>
      </c>
      <c r="L528" s="12" t="s">
        <v>1624</v>
      </c>
      <c r="M528" s="10" t="s">
        <v>54</v>
      </c>
      <c r="N528" s="80" t="s">
        <v>1625</v>
      </c>
      <c r="O528" s="9"/>
      <c r="P528" s="9"/>
      <c r="Q528" s="7"/>
      <c r="R528" s="1"/>
    </row>
    <row r="529" spans="1:18" ht="119">
      <c r="A529" s="1"/>
      <c r="B529" s="6"/>
      <c r="C529" s="11">
        <f>SUBTOTAL(103,$D$4:D529)</f>
        <v>526</v>
      </c>
      <c r="D529" s="9" t="s">
        <v>1416</v>
      </c>
      <c r="E529" s="12" t="s">
        <v>1626</v>
      </c>
      <c r="F529" s="10" t="s">
        <v>22</v>
      </c>
      <c r="G529" s="10" t="s">
        <v>54</v>
      </c>
      <c r="H529" s="80" t="s">
        <v>1627</v>
      </c>
      <c r="I529" s="12" t="s">
        <v>55</v>
      </c>
      <c r="J529" s="12" t="s">
        <v>1628</v>
      </c>
      <c r="K529" s="10" t="s">
        <v>54</v>
      </c>
      <c r="L529" s="12" t="s">
        <v>1629</v>
      </c>
      <c r="M529" s="10" t="s">
        <v>54</v>
      </c>
      <c r="N529" s="80" t="s">
        <v>1630</v>
      </c>
      <c r="O529" s="9"/>
      <c r="P529" s="9"/>
      <c r="Q529" s="7"/>
      <c r="R529" s="1"/>
    </row>
    <row r="530" spans="1:18" ht="51">
      <c r="A530" s="1"/>
      <c r="B530" s="6"/>
      <c r="C530" s="11">
        <f>SUBTOTAL(103,$D$4:D530)</f>
        <v>527</v>
      </c>
      <c r="D530" s="9" t="s">
        <v>1416</v>
      </c>
      <c r="E530" s="12" t="s">
        <v>1631</v>
      </c>
      <c r="F530" s="10" t="s">
        <v>12</v>
      </c>
      <c r="G530" s="10" t="s">
        <v>54</v>
      </c>
      <c r="H530" s="80" t="s">
        <v>1632</v>
      </c>
      <c r="I530" s="12" t="s">
        <v>55</v>
      </c>
      <c r="J530" s="12" t="s">
        <v>1633</v>
      </c>
      <c r="K530" s="12" t="s">
        <v>55</v>
      </c>
      <c r="L530" s="12" t="s">
        <v>1634</v>
      </c>
      <c r="M530" s="10" t="s">
        <v>54</v>
      </c>
      <c r="N530" s="80" t="s">
        <v>1635</v>
      </c>
      <c r="O530" s="9"/>
      <c r="P530" s="9"/>
      <c r="Q530" s="7"/>
      <c r="R530" s="1"/>
    </row>
    <row r="531" spans="1:18" ht="68">
      <c r="A531" s="1"/>
      <c r="B531" s="6"/>
      <c r="C531" s="11">
        <f>SUBTOTAL(103,$D$4:D531)</f>
        <v>528</v>
      </c>
      <c r="D531" s="9" t="s">
        <v>1416</v>
      </c>
      <c r="E531" s="12" t="s">
        <v>1636</v>
      </c>
      <c r="F531" s="10" t="s">
        <v>12</v>
      </c>
      <c r="G531" s="12" t="s">
        <v>55</v>
      </c>
      <c r="H531" s="80" t="s">
        <v>1637</v>
      </c>
      <c r="I531" s="12" t="s">
        <v>55</v>
      </c>
      <c r="J531" s="12" t="s">
        <v>1638</v>
      </c>
      <c r="K531" s="10" t="s">
        <v>54</v>
      </c>
      <c r="L531" s="12" t="s">
        <v>1639</v>
      </c>
      <c r="M531" s="10" t="s">
        <v>54</v>
      </c>
      <c r="N531" s="80" t="s">
        <v>1640</v>
      </c>
      <c r="O531" s="9"/>
      <c r="P531" s="9"/>
      <c r="Q531" s="7"/>
      <c r="R531" s="1"/>
    </row>
    <row r="532" spans="1:18" ht="68">
      <c r="A532" s="1"/>
      <c r="B532" s="6"/>
      <c r="C532" s="11">
        <f>SUBTOTAL(103,$D$4:D532)</f>
        <v>529</v>
      </c>
      <c r="D532" s="9" t="s">
        <v>1416</v>
      </c>
      <c r="E532" s="12" t="s">
        <v>1641</v>
      </c>
      <c r="F532" s="10" t="s">
        <v>8</v>
      </c>
      <c r="G532" s="12" t="s">
        <v>55</v>
      </c>
      <c r="H532" s="80" t="s">
        <v>10</v>
      </c>
      <c r="I532" s="10" t="s">
        <v>54</v>
      </c>
      <c r="J532" s="12" t="s">
        <v>9</v>
      </c>
      <c r="K532" s="10" t="s">
        <v>54</v>
      </c>
      <c r="L532" s="81" t="s">
        <v>177</v>
      </c>
      <c r="M532" s="10" t="s">
        <v>54</v>
      </c>
      <c r="N532" s="81" t="s">
        <v>177</v>
      </c>
      <c r="O532" s="9"/>
      <c r="P532" s="9"/>
      <c r="Q532" s="7"/>
      <c r="R532" s="1"/>
    </row>
    <row r="533" spans="1:18" ht="34">
      <c r="A533" s="1"/>
      <c r="B533" s="6"/>
      <c r="C533" s="11">
        <f>SUBTOTAL(103,$D$4:D533)</f>
        <v>530</v>
      </c>
      <c r="D533" s="9" t="s">
        <v>1416</v>
      </c>
      <c r="E533" s="12" t="s">
        <v>1642</v>
      </c>
      <c r="F533" s="10" t="s">
        <v>8</v>
      </c>
      <c r="G533" s="12" t="s">
        <v>55</v>
      </c>
      <c r="H533" s="80" t="s">
        <v>10</v>
      </c>
      <c r="I533" s="10" t="s">
        <v>54</v>
      </c>
      <c r="J533" s="12" t="s">
        <v>9</v>
      </c>
      <c r="K533" s="10" t="s">
        <v>54</v>
      </c>
      <c r="L533" s="81" t="s">
        <v>177</v>
      </c>
      <c r="M533" s="10" t="s">
        <v>54</v>
      </c>
      <c r="N533" s="81" t="s">
        <v>177</v>
      </c>
      <c r="O533" s="9"/>
      <c r="P533" s="9"/>
      <c r="Q533" s="7"/>
      <c r="R533" s="1"/>
    </row>
    <row r="534" spans="1:18" ht="102">
      <c r="A534" s="1"/>
      <c r="B534" s="6"/>
      <c r="C534" s="11">
        <f>SUBTOTAL(103,$D$4:D534)</f>
        <v>531</v>
      </c>
      <c r="D534" s="9" t="s">
        <v>1416</v>
      </c>
      <c r="E534" s="12" t="s">
        <v>1643</v>
      </c>
      <c r="F534" s="10" t="s">
        <v>8</v>
      </c>
      <c r="G534" s="12" t="s">
        <v>55</v>
      </c>
      <c r="H534" s="80" t="s">
        <v>10</v>
      </c>
      <c r="I534" s="10" t="s">
        <v>54</v>
      </c>
      <c r="J534" s="12" t="s">
        <v>9</v>
      </c>
      <c r="K534" s="10" t="s">
        <v>54</v>
      </c>
      <c r="L534" s="81" t="s">
        <v>177</v>
      </c>
      <c r="M534" s="10" t="s">
        <v>54</v>
      </c>
      <c r="N534" s="81" t="s">
        <v>177</v>
      </c>
      <c r="O534" s="9"/>
      <c r="P534" s="9"/>
      <c r="Q534" s="7"/>
      <c r="R534" s="1"/>
    </row>
    <row r="535" spans="1:18" ht="85">
      <c r="A535" s="1"/>
      <c r="B535" s="6"/>
      <c r="C535" s="11">
        <f>SUBTOTAL(103,$D$4:D535)</f>
        <v>532</v>
      </c>
      <c r="D535" s="9" t="s">
        <v>1416</v>
      </c>
      <c r="E535" s="12" t="s">
        <v>1644</v>
      </c>
      <c r="F535" s="10" t="s">
        <v>22</v>
      </c>
      <c r="G535" s="10" t="s">
        <v>54</v>
      </c>
      <c r="H535" s="80" t="s">
        <v>1645</v>
      </c>
      <c r="I535" s="10" t="s">
        <v>54</v>
      </c>
      <c r="J535" s="12" t="s">
        <v>1647</v>
      </c>
      <c r="K535" s="12" t="s">
        <v>55</v>
      </c>
      <c r="L535" s="12" t="s">
        <v>1648</v>
      </c>
      <c r="M535" s="10" t="s">
        <v>54</v>
      </c>
      <c r="N535" s="80" t="s">
        <v>1646</v>
      </c>
      <c r="O535" s="9"/>
      <c r="P535" s="9"/>
      <c r="Q535" s="7"/>
      <c r="R535" s="1"/>
    </row>
    <row r="536" spans="1:18" ht="68">
      <c r="A536" s="1"/>
      <c r="B536" s="6"/>
      <c r="C536" s="11">
        <f>SUBTOTAL(103,$D$4:D536)</f>
        <v>533</v>
      </c>
      <c r="D536" s="9" t="s">
        <v>1416</v>
      </c>
      <c r="E536" s="12" t="s">
        <v>1649</v>
      </c>
      <c r="F536" s="10" t="s">
        <v>22</v>
      </c>
      <c r="G536" s="10" t="s">
        <v>54</v>
      </c>
      <c r="H536" s="80" t="s">
        <v>1650</v>
      </c>
      <c r="I536" s="10" t="s">
        <v>54</v>
      </c>
      <c r="J536" s="12" t="s">
        <v>1651</v>
      </c>
      <c r="K536" s="12" t="s">
        <v>55</v>
      </c>
      <c r="L536" s="12" t="s">
        <v>1652</v>
      </c>
      <c r="M536" s="10" t="s">
        <v>54</v>
      </c>
      <c r="N536" s="80" t="s">
        <v>1653</v>
      </c>
      <c r="O536" s="9"/>
      <c r="P536" s="9"/>
      <c r="Q536" s="7"/>
      <c r="R536" s="1"/>
    </row>
    <row r="537" spans="1:18" ht="34">
      <c r="A537" s="1"/>
      <c r="B537" s="6"/>
      <c r="C537" s="11">
        <f>SUBTOTAL(103,$D$4:D537)</f>
        <v>534</v>
      </c>
      <c r="D537" s="9" t="s">
        <v>1416</v>
      </c>
      <c r="E537" s="12" t="s">
        <v>1654</v>
      </c>
      <c r="F537" s="10" t="s">
        <v>8</v>
      </c>
      <c r="G537" s="10" t="s">
        <v>54</v>
      </c>
      <c r="H537" s="80" t="s">
        <v>10</v>
      </c>
      <c r="I537" s="10" t="s">
        <v>55</v>
      </c>
      <c r="J537" s="12" t="s">
        <v>9</v>
      </c>
      <c r="K537" s="10" t="s">
        <v>54</v>
      </c>
      <c r="L537" s="81" t="s">
        <v>177</v>
      </c>
      <c r="M537" s="93" t="s">
        <v>54</v>
      </c>
      <c r="N537" s="81" t="s">
        <v>177</v>
      </c>
      <c r="O537" s="9"/>
      <c r="P537" s="9"/>
      <c r="Q537" s="7"/>
      <c r="R537" s="1"/>
    </row>
    <row r="538" spans="1:18" ht="51">
      <c r="A538" s="1"/>
      <c r="B538" s="6"/>
      <c r="C538" s="11">
        <f>SUBTOTAL(103,$D$4:D538)</f>
        <v>535</v>
      </c>
      <c r="D538" s="9" t="s">
        <v>1416</v>
      </c>
      <c r="E538" s="12" t="s">
        <v>1655</v>
      </c>
      <c r="F538" s="10" t="s">
        <v>8</v>
      </c>
      <c r="G538" s="93" t="s">
        <v>54</v>
      </c>
      <c r="H538" s="80" t="s">
        <v>10</v>
      </c>
      <c r="I538" s="93" t="s">
        <v>55</v>
      </c>
      <c r="J538" s="12" t="s">
        <v>9</v>
      </c>
      <c r="K538" s="93" t="s">
        <v>54</v>
      </c>
      <c r="L538" s="81" t="s">
        <v>177</v>
      </c>
      <c r="M538" s="93" t="s">
        <v>54</v>
      </c>
      <c r="N538" s="81" t="s">
        <v>177</v>
      </c>
      <c r="O538" s="9"/>
      <c r="P538" s="9"/>
      <c r="Q538" s="7"/>
      <c r="R538" s="1"/>
    </row>
    <row r="539" spans="1:18" ht="119">
      <c r="A539" s="1"/>
      <c r="B539" s="6"/>
      <c r="C539" s="11">
        <f>SUBTOTAL(103,$D$4:D539)</f>
        <v>536</v>
      </c>
      <c r="D539" s="9" t="s">
        <v>1416</v>
      </c>
      <c r="E539" s="12" t="s">
        <v>1656</v>
      </c>
      <c r="F539" s="10" t="s">
        <v>12</v>
      </c>
      <c r="G539" s="10" t="s">
        <v>55</v>
      </c>
      <c r="H539" s="80" t="s">
        <v>1853</v>
      </c>
      <c r="I539" s="10" t="s">
        <v>54</v>
      </c>
      <c r="J539" s="12" t="s">
        <v>1657</v>
      </c>
      <c r="K539" s="10" t="s">
        <v>55</v>
      </c>
      <c r="L539" s="12" t="s">
        <v>1658</v>
      </c>
      <c r="M539" s="10" t="s">
        <v>55</v>
      </c>
      <c r="N539" s="80" t="s">
        <v>1659</v>
      </c>
      <c r="O539" s="9"/>
      <c r="P539" s="9"/>
      <c r="Q539" s="7"/>
      <c r="R539" s="1"/>
    </row>
    <row r="540" spans="1:18" ht="68">
      <c r="A540" s="1"/>
      <c r="B540" s="6"/>
      <c r="C540" s="11">
        <f>SUBTOTAL(103,$D$4:D540)</f>
        <v>537</v>
      </c>
      <c r="D540" s="9" t="s">
        <v>1416</v>
      </c>
      <c r="E540" s="12" t="s">
        <v>1660</v>
      </c>
      <c r="F540" s="10" t="s">
        <v>22</v>
      </c>
      <c r="G540" s="10" t="s">
        <v>54</v>
      </c>
      <c r="H540" s="80" t="s">
        <v>1661</v>
      </c>
      <c r="I540" s="10" t="s">
        <v>55</v>
      </c>
      <c r="J540" s="12" t="s">
        <v>1662</v>
      </c>
      <c r="K540" s="10" t="s">
        <v>54</v>
      </c>
      <c r="L540" s="12" t="s">
        <v>1664</v>
      </c>
      <c r="M540" s="10" t="s">
        <v>54</v>
      </c>
      <c r="N540" s="80" t="s">
        <v>1663</v>
      </c>
      <c r="O540" s="9"/>
      <c r="P540" s="9"/>
      <c r="Q540" s="7"/>
      <c r="R540" s="1"/>
    </row>
    <row r="541" spans="1:18" ht="85">
      <c r="A541" s="1"/>
      <c r="B541" s="6"/>
      <c r="C541" s="11">
        <f>SUBTOTAL(103,$D$4:D541)</f>
        <v>538</v>
      </c>
      <c r="D541" s="9" t="s">
        <v>1416</v>
      </c>
      <c r="E541" s="12" t="s">
        <v>1665</v>
      </c>
      <c r="F541" s="10" t="s">
        <v>12</v>
      </c>
      <c r="G541" s="10" t="s">
        <v>54</v>
      </c>
      <c r="H541" s="80" t="s">
        <v>1666</v>
      </c>
      <c r="I541" s="10" t="s">
        <v>55</v>
      </c>
      <c r="J541" s="12" t="s">
        <v>1667</v>
      </c>
      <c r="K541" s="10" t="s">
        <v>55</v>
      </c>
      <c r="L541" s="12" t="s">
        <v>1668</v>
      </c>
      <c r="M541" s="10" t="s">
        <v>54</v>
      </c>
      <c r="N541" s="80" t="s">
        <v>1659</v>
      </c>
      <c r="O541" s="9"/>
      <c r="P541" s="9"/>
      <c r="Q541" s="7"/>
      <c r="R541" s="1"/>
    </row>
    <row r="542" spans="1:18" ht="119">
      <c r="A542" s="1"/>
      <c r="B542" s="6"/>
      <c r="C542" s="11">
        <f>SUBTOTAL(103,$D$4:D542)</f>
        <v>539</v>
      </c>
      <c r="D542" s="9" t="s">
        <v>1416</v>
      </c>
      <c r="E542" s="12" t="s">
        <v>1669</v>
      </c>
      <c r="F542" s="10" t="s">
        <v>22</v>
      </c>
      <c r="G542" s="10" t="s">
        <v>54</v>
      </c>
      <c r="H542" s="80" t="s">
        <v>1670</v>
      </c>
      <c r="I542" s="10" t="s">
        <v>54</v>
      </c>
      <c r="J542" s="12" t="s">
        <v>1671</v>
      </c>
      <c r="K542" s="10" t="s">
        <v>55</v>
      </c>
      <c r="L542" s="12" t="s">
        <v>1673</v>
      </c>
      <c r="M542" s="10" t="s">
        <v>54</v>
      </c>
      <c r="N542" s="80" t="s">
        <v>1672</v>
      </c>
      <c r="O542" s="9"/>
      <c r="P542" s="9"/>
      <c r="Q542" s="7"/>
      <c r="R542" s="1"/>
    </row>
    <row r="543" spans="1:18" ht="85">
      <c r="A543" s="1"/>
      <c r="B543" s="6"/>
      <c r="C543" s="11">
        <f>SUBTOTAL(103,$D$4:D543)</f>
        <v>540</v>
      </c>
      <c r="D543" s="9" t="s">
        <v>1416</v>
      </c>
      <c r="E543" s="12" t="s">
        <v>1674</v>
      </c>
      <c r="F543" s="10" t="s">
        <v>12</v>
      </c>
      <c r="G543" s="10" t="s">
        <v>55</v>
      </c>
      <c r="H543" s="80" t="s">
        <v>1675</v>
      </c>
      <c r="I543" s="10" t="s">
        <v>55</v>
      </c>
      <c r="J543" s="12" t="s">
        <v>1676</v>
      </c>
      <c r="K543" s="10" t="s">
        <v>54</v>
      </c>
      <c r="L543" s="12" t="s">
        <v>1677</v>
      </c>
      <c r="M543" s="10" t="s">
        <v>54</v>
      </c>
      <c r="N543" s="80" t="s">
        <v>1678</v>
      </c>
      <c r="O543" s="9"/>
      <c r="P543" s="9"/>
      <c r="Q543" s="7"/>
      <c r="R543" s="1"/>
    </row>
    <row r="544" spans="1:18" ht="68">
      <c r="A544" s="1"/>
      <c r="B544" s="6"/>
      <c r="C544" s="11">
        <f>SUBTOTAL(103,$D$4:D544)</f>
        <v>541</v>
      </c>
      <c r="D544" s="9" t="s">
        <v>1416</v>
      </c>
      <c r="E544" s="12" t="s">
        <v>1679</v>
      </c>
      <c r="F544" s="10" t="s">
        <v>22</v>
      </c>
      <c r="G544" s="10" t="s">
        <v>54</v>
      </c>
      <c r="H544" s="80" t="s">
        <v>1680</v>
      </c>
      <c r="I544" s="10" t="s">
        <v>54</v>
      </c>
      <c r="J544" s="12" t="s">
        <v>1682</v>
      </c>
      <c r="K544" s="10" t="s">
        <v>55</v>
      </c>
      <c r="L544" s="12" t="s">
        <v>1681</v>
      </c>
      <c r="M544" s="10" t="s">
        <v>54</v>
      </c>
      <c r="N544" s="80" t="s">
        <v>1683</v>
      </c>
      <c r="O544" s="9"/>
      <c r="P544" s="9"/>
      <c r="Q544" s="7"/>
      <c r="R544" s="1"/>
    </row>
    <row r="545" spans="1:18" ht="51">
      <c r="A545" s="1"/>
      <c r="B545" s="6"/>
      <c r="C545" s="11">
        <f>SUBTOTAL(103,$D$4:D545)</f>
        <v>542</v>
      </c>
      <c r="D545" s="9" t="s">
        <v>1416</v>
      </c>
      <c r="E545" s="12" t="s">
        <v>1684</v>
      </c>
      <c r="F545" s="10" t="s">
        <v>22</v>
      </c>
      <c r="G545" s="10" t="s">
        <v>54</v>
      </c>
      <c r="H545" s="80" t="s">
        <v>1685</v>
      </c>
      <c r="I545" s="10" t="s">
        <v>55</v>
      </c>
      <c r="J545" s="12" t="s">
        <v>1688</v>
      </c>
      <c r="K545" s="10" t="s">
        <v>54</v>
      </c>
      <c r="L545" s="12" t="s">
        <v>1686</v>
      </c>
      <c r="M545" s="10" t="s">
        <v>54</v>
      </c>
      <c r="N545" s="80" t="s">
        <v>1687</v>
      </c>
      <c r="O545" s="9"/>
      <c r="P545" s="9"/>
      <c r="Q545" s="7"/>
      <c r="R545" s="1"/>
    </row>
    <row r="546" spans="1:18" ht="68">
      <c r="A546" s="1"/>
      <c r="B546" s="6"/>
      <c r="C546" s="11">
        <f>SUBTOTAL(103,$D$4:D546)</f>
        <v>543</v>
      </c>
      <c r="D546" s="9" t="s">
        <v>1416</v>
      </c>
      <c r="E546" s="12" t="s">
        <v>1689</v>
      </c>
      <c r="F546" s="10" t="s">
        <v>8</v>
      </c>
      <c r="G546" s="12" t="s">
        <v>55</v>
      </c>
      <c r="H546" s="80" t="s">
        <v>10</v>
      </c>
      <c r="I546" s="10" t="s">
        <v>54</v>
      </c>
      <c r="J546" s="12" t="s">
        <v>9</v>
      </c>
      <c r="K546" s="10" t="s">
        <v>54</v>
      </c>
      <c r="L546" s="81" t="s">
        <v>177</v>
      </c>
      <c r="M546" s="10" t="s">
        <v>54</v>
      </c>
      <c r="N546" s="81" t="s">
        <v>177</v>
      </c>
      <c r="O546" s="9"/>
      <c r="P546" s="9"/>
      <c r="Q546" s="7"/>
      <c r="R546" s="1"/>
    </row>
    <row r="547" spans="1:18" ht="34">
      <c r="A547" s="1"/>
      <c r="B547" s="6"/>
      <c r="C547" s="11">
        <f>SUBTOTAL(103,$D$4:D547)</f>
        <v>544</v>
      </c>
      <c r="D547" s="9" t="s">
        <v>1416</v>
      </c>
      <c r="E547" s="12" t="s">
        <v>1690</v>
      </c>
      <c r="F547" s="10" t="s">
        <v>8</v>
      </c>
      <c r="G547" s="12" t="s">
        <v>55</v>
      </c>
      <c r="H547" s="80" t="s">
        <v>10</v>
      </c>
      <c r="I547" s="10" t="s">
        <v>54</v>
      </c>
      <c r="J547" s="12" t="s">
        <v>9</v>
      </c>
      <c r="K547" s="10" t="s">
        <v>54</v>
      </c>
      <c r="L547" s="81" t="s">
        <v>177</v>
      </c>
      <c r="M547" s="10" t="s">
        <v>54</v>
      </c>
      <c r="N547" s="81" t="s">
        <v>177</v>
      </c>
      <c r="O547" s="9"/>
      <c r="P547" s="9"/>
      <c r="Q547" s="7"/>
      <c r="R547" s="1"/>
    </row>
    <row r="548" spans="1:18" ht="102">
      <c r="A548" s="1"/>
      <c r="B548" s="6"/>
      <c r="C548" s="11">
        <f>SUBTOTAL(103,$D$4:D548)</f>
        <v>545</v>
      </c>
      <c r="D548" s="9" t="s">
        <v>1416</v>
      </c>
      <c r="E548" s="12" t="s">
        <v>1859</v>
      </c>
      <c r="F548" s="10" t="s">
        <v>8</v>
      </c>
      <c r="G548" s="12" t="s">
        <v>55</v>
      </c>
      <c r="H548" s="80" t="s">
        <v>10</v>
      </c>
      <c r="I548" s="10" t="s">
        <v>54</v>
      </c>
      <c r="J548" s="12" t="s">
        <v>9</v>
      </c>
      <c r="K548" s="10" t="s">
        <v>54</v>
      </c>
      <c r="L548" s="81" t="s">
        <v>177</v>
      </c>
      <c r="M548" s="10" t="s">
        <v>54</v>
      </c>
      <c r="N548" s="81" t="s">
        <v>177</v>
      </c>
      <c r="O548" s="9"/>
      <c r="P548" s="9"/>
      <c r="Q548" s="7"/>
      <c r="R548" s="1"/>
    </row>
    <row r="549" spans="1:18" ht="34">
      <c r="A549" s="1"/>
      <c r="B549" s="6"/>
      <c r="C549" s="11">
        <f>SUBTOTAL(103,$D$4:D549)</f>
        <v>546</v>
      </c>
      <c r="D549" s="9" t="s">
        <v>1416</v>
      </c>
      <c r="E549" s="12" t="s">
        <v>1860</v>
      </c>
      <c r="F549" s="10" t="s">
        <v>8</v>
      </c>
      <c r="G549" s="12" t="s">
        <v>55</v>
      </c>
      <c r="H549" s="80" t="s">
        <v>10</v>
      </c>
      <c r="I549" s="10" t="s">
        <v>54</v>
      </c>
      <c r="J549" s="12" t="s">
        <v>9</v>
      </c>
      <c r="K549" s="10" t="s">
        <v>54</v>
      </c>
      <c r="L549" s="81" t="s">
        <v>177</v>
      </c>
      <c r="M549" s="10" t="s">
        <v>54</v>
      </c>
      <c r="N549" s="81" t="s">
        <v>177</v>
      </c>
      <c r="O549" s="9"/>
      <c r="P549" s="9"/>
      <c r="Q549" s="7"/>
      <c r="R549" s="1"/>
    </row>
    <row r="550" spans="1:18" ht="51">
      <c r="A550" s="1"/>
      <c r="B550" s="6"/>
      <c r="C550" s="11">
        <f>SUBTOTAL(103,$D$4:D550)</f>
        <v>547</v>
      </c>
      <c r="D550" s="9" t="s">
        <v>1416</v>
      </c>
      <c r="E550" s="12" t="s">
        <v>1691</v>
      </c>
      <c r="F550" s="10" t="s">
        <v>8</v>
      </c>
      <c r="G550" s="12" t="s">
        <v>55</v>
      </c>
      <c r="H550" s="80" t="s">
        <v>10</v>
      </c>
      <c r="I550" s="10" t="s">
        <v>54</v>
      </c>
      <c r="J550" s="12" t="s">
        <v>9</v>
      </c>
      <c r="K550" s="10" t="s">
        <v>54</v>
      </c>
      <c r="L550" s="81" t="s">
        <v>177</v>
      </c>
      <c r="M550" s="10" t="s">
        <v>54</v>
      </c>
      <c r="N550" s="81" t="s">
        <v>177</v>
      </c>
      <c r="O550" s="9"/>
      <c r="P550" s="9"/>
      <c r="Q550" s="7"/>
      <c r="R550" s="1"/>
    </row>
    <row r="551" spans="1:18" ht="51">
      <c r="A551" s="1"/>
      <c r="B551" s="6"/>
      <c r="C551" s="11">
        <f>SUBTOTAL(103,$D$4:D551)</f>
        <v>548</v>
      </c>
      <c r="D551" s="9" t="s">
        <v>1416</v>
      </c>
      <c r="E551" s="12" t="s">
        <v>1692</v>
      </c>
      <c r="F551" s="10" t="s">
        <v>8</v>
      </c>
      <c r="G551" s="10" t="s">
        <v>54</v>
      </c>
      <c r="H551" s="80" t="s">
        <v>10</v>
      </c>
      <c r="I551" s="10" t="s">
        <v>55</v>
      </c>
      <c r="J551" s="12" t="s">
        <v>9</v>
      </c>
      <c r="K551" s="10" t="s">
        <v>54</v>
      </c>
      <c r="L551" s="81" t="s">
        <v>177</v>
      </c>
      <c r="M551" s="10" t="s">
        <v>54</v>
      </c>
      <c r="N551" s="81" t="s">
        <v>177</v>
      </c>
      <c r="O551" s="9"/>
      <c r="P551" s="9"/>
      <c r="Q551" s="7"/>
      <c r="R551" s="1"/>
    </row>
    <row r="552" spans="1:18" ht="85">
      <c r="A552" s="1"/>
      <c r="B552" s="6"/>
      <c r="C552" s="11">
        <f>SUBTOTAL(103,$D$4:D552)</f>
        <v>549</v>
      </c>
      <c r="D552" s="9" t="s">
        <v>1416</v>
      </c>
      <c r="E552" s="12" t="s">
        <v>1693</v>
      </c>
      <c r="F552" s="10" t="s">
        <v>12</v>
      </c>
      <c r="G552" s="12" t="s">
        <v>55</v>
      </c>
      <c r="H552" s="80" t="s">
        <v>1697</v>
      </c>
      <c r="I552" s="12" t="s">
        <v>55</v>
      </c>
      <c r="J552" s="12" t="s">
        <v>1696</v>
      </c>
      <c r="K552" s="12" t="s">
        <v>55</v>
      </c>
      <c r="L552" s="12" t="s">
        <v>1695</v>
      </c>
      <c r="M552" s="12" t="s">
        <v>55</v>
      </c>
      <c r="N552" s="80" t="s">
        <v>1694</v>
      </c>
      <c r="O552" s="9"/>
      <c r="P552" s="9"/>
      <c r="Q552" s="7"/>
      <c r="R552" s="1"/>
    </row>
    <row r="553" spans="1:18" ht="119">
      <c r="A553" s="1"/>
      <c r="B553" s="6"/>
      <c r="C553" s="11">
        <f>SUBTOTAL(103,$D$4:D553)</f>
        <v>550</v>
      </c>
      <c r="D553" s="9" t="s">
        <v>1416</v>
      </c>
      <c r="E553" s="12" t="s">
        <v>1698</v>
      </c>
      <c r="F553" s="10" t="s">
        <v>12</v>
      </c>
      <c r="G553" s="12" t="s">
        <v>55</v>
      </c>
      <c r="H553" s="80" t="s">
        <v>1702</v>
      </c>
      <c r="I553" s="12" t="s">
        <v>55</v>
      </c>
      <c r="J553" s="12" t="s">
        <v>1701</v>
      </c>
      <c r="K553" s="10" t="s">
        <v>54</v>
      </c>
      <c r="L553" s="12" t="s">
        <v>1700</v>
      </c>
      <c r="M553" s="12" t="s">
        <v>55</v>
      </c>
      <c r="N553" s="80" t="s">
        <v>1699</v>
      </c>
      <c r="O553" s="9"/>
      <c r="P553" s="9"/>
      <c r="Q553" s="7"/>
      <c r="R553" s="1"/>
    </row>
    <row r="554" spans="1:18" ht="119">
      <c r="A554" s="1"/>
      <c r="B554" s="6"/>
      <c r="C554" s="11">
        <f>SUBTOTAL(103,$D$4:D554)</f>
        <v>551</v>
      </c>
      <c r="D554" s="9" t="s">
        <v>1416</v>
      </c>
      <c r="E554" s="12" t="s">
        <v>1703</v>
      </c>
      <c r="F554" s="10" t="s">
        <v>12</v>
      </c>
      <c r="G554" s="12" t="s">
        <v>55</v>
      </c>
      <c r="H554" s="80" t="s">
        <v>1704</v>
      </c>
      <c r="I554" s="10" t="s">
        <v>54</v>
      </c>
      <c r="J554" s="12" t="s">
        <v>1705</v>
      </c>
      <c r="K554" s="12" t="s">
        <v>55</v>
      </c>
      <c r="L554" s="12" t="s">
        <v>1706</v>
      </c>
      <c r="M554" s="12" t="s">
        <v>55</v>
      </c>
      <c r="N554" s="80" t="s">
        <v>1707</v>
      </c>
      <c r="O554" s="9"/>
      <c r="P554" s="9"/>
      <c r="Q554" s="7"/>
      <c r="R554" s="1"/>
    </row>
    <row r="555" spans="1:18" ht="119">
      <c r="A555" s="1"/>
      <c r="B555" s="6"/>
      <c r="C555" s="11">
        <f>SUBTOTAL(103,$D$4:D555)</f>
        <v>552</v>
      </c>
      <c r="D555" s="9" t="s">
        <v>1416</v>
      </c>
      <c r="E555" s="12" t="s">
        <v>1712</v>
      </c>
      <c r="F555" s="10" t="s">
        <v>22</v>
      </c>
      <c r="G555" s="10" t="s">
        <v>54</v>
      </c>
      <c r="H555" s="80" t="s">
        <v>1711</v>
      </c>
      <c r="I555" s="10" t="s">
        <v>54</v>
      </c>
      <c r="J555" s="12" t="s">
        <v>1710</v>
      </c>
      <c r="K555" s="12" t="s">
        <v>55</v>
      </c>
      <c r="L555" s="12" t="s">
        <v>1709</v>
      </c>
      <c r="M555" s="10" t="s">
        <v>54</v>
      </c>
      <c r="N555" s="80" t="s">
        <v>1708</v>
      </c>
      <c r="O555" s="9"/>
      <c r="P555" s="9"/>
      <c r="Q555" s="7"/>
      <c r="R555" s="1"/>
    </row>
    <row r="556" spans="1:18" ht="102">
      <c r="A556" s="1"/>
      <c r="B556" s="6"/>
      <c r="C556" s="11">
        <f>SUBTOTAL(103,$D$4:D556)</f>
        <v>553</v>
      </c>
      <c r="D556" s="9" t="s">
        <v>1416</v>
      </c>
      <c r="E556" s="12" t="s">
        <v>1713</v>
      </c>
      <c r="F556" s="10" t="s">
        <v>22</v>
      </c>
      <c r="G556" s="10" t="s">
        <v>54</v>
      </c>
      <c r="H556" s="80" t="s">
        <v>1717</v>
      </c>
      <c r="I556" s="93" t="s">
        <v>54</v>
      </c>
      <c r="J556" s="12" t="s">
        <v>1716</v>
      </c>
      <c r="K556" s="10" t="s">
        <v>54</v>
      </c>
      <c r="L556" s="12" t="s">
        <v>1715</v>
      </c>
      <c r="M556" s="12" t="s">
        <v>55</v>
      </c>
      <c r="N556" s="80" t="s">
        <v>1714</v>
      </c>
      <c r="O556" s="9"/>
      <c r="P556" s="9"/>
      <c r="Q556" s="7"/>
      <c r="R556" s="1"/>
    </row>
    <row r="557" spans="1:18" ht="153">
      <c r="A557" s="1"/>
      <c r="B557" s="6"/>
      <c r="C557" s="11">
        <f>SUBTOTAL(103,$D$4:D557)</f>
        <v>554</v>
      </c>
      <c r="D557" s="9" t="s">
        <v>1416</v>
      </c>
      <c r="E557" s="12" t="s">
        <v>1718</v>
      </c>
      <c r="F557" s="10" t="s">
        <v>22</v>
      </c>
      <c r="G557" s="10" t="s">
        <v>54</v>
      </c>
      <c r="H557" s="80" t="s">
        <v>1719</v>
      </c>
      <c r="I557" s="88" t="s">
        <v>55</v>
      </c>
      <c r="J557" s="12" t="s">
        <v>1722</v>
      </c>
      <c r="K557" s="10" t="s">
        <v>54</v>
      </c>
      <c r="L557" s="12" t="s">
        <v>1721</v>
      </c>
      <c r="M557" s="10" t="s">
        <v>54</v>
      </c>
      <c r="N557" s="80" t="s">
        <v>1720</v>
      </c>
      <c r="O557" s="9"/>
      <c r="P557" s="9"/>
      <c r="Q557" s="7"/>
      <c r="R557" s="1"/>
    </row>
    <row r="558" spans="1:18" ht="68">
      <c r="A558" s="1"/>
      <c r="B558" s="6"/>
      <c r="C558" s="11">
        <f>SUBTOTAL(103,$D$4:D558)</f>
        <v>555</v>
      </c>
      <c r="D558" s="9" t="s">
        <v>1416</v>
      </c>
      <c r="E558" s="12" t="s">
        <v>1723</v>
      </c>
      <c r="F558" s="10" t="s">
        <v>12</v>
      </c>
      <c r="G558" s="88" t="s">
        <v>55</v>
      </c>
      <c r="H558" s="80" t="s">
        <v>1724</v>
      </c>
      <c r="I558" s="10" t="s">
        <v>54</v>
      </c>
      <c r="J558" s="12" t="s">
        <v>1725</v>
      </c>
      <c r="K558" s="10" t="s">
        <v>54</v>
      </c>
      <c r="L558" s="12" t="s">
        <v>1726</v>
      </c>
      <c r="M558" s="12" t="s">
        <v>55</v>
      </c>
      <c r="N558" s="80" t="s">
        <v>1727</v>
      </c>
      <c r="O558" s="9"/>
      <c r="P558" s="9"/>
      <c r="Q558" s="7"/>
      <c r="R558" s="1"/>
    </row>
    <row r="559" spans="1:18" ht="68">
      <c r="A559" s="1"/>
      <c r="B559" s="6"/>
      <c r="C559" s="11">
        <f>SUBTOTAL(103,$D$4:D559)</f>
        <v>556</v>
      </c>
      <c r="D559" s="9" t="s">
        <v>1416</v>
      </c>
      <c r="E559" s="12" t="s">
        <v>1728</v>
      </c>
      <c r="F559" s="10" t="s">
        <v>12</v>
      </c>
      <c r="G559" s="88" t="s">
        <v>55</v>
      </c>
      <c r="H559" s="80" t="s">
        <v>1732</v>
      </c>
      <c r="I559" s="88" t="s">
        <v>55</v>
      </c>
      <c r="J559" s="12" t="s">
        <v>1730</v>
      </c>
      <c r="K559" s="93" t="s">
        <v>54</v>
      </c>
      <c r="L559" s="12" t="s">
        <v>1729</v>
      </c>
      <c r="M559" s="88" t="s">
        <v>55</v>
      </c>
      <c r="N559" s="80" t="s">
        <v>1731</v>
      </c>
      <c r="O559" s="9"/>
      <c r="P559" s="9"/>
      <c r="Q559" s="7"/>
      <c r="R559" s="1"/>
    </row>
    <row r="560" spans="1:18" ht="204">
      <c r="A560" s="1"/>
      <c r="B560" s="6"/>
      <c r="C560" s="11">
        <f>SUBTOTAL(103,$D$4:D560)</f>
        <v>557</v>
      </c>
      <c r="D560" s="9" t="s">
        <v>1416</v>
      </c>
      <c r="E560" s="12" t="s">
        <v>1733</v>
      </c>
      <c r="F560" s="10" t="s">
        <v>12</v>
      </c>
      <c r="G560" s="12" t="s">
        <v>55</v>
      </c>
      <c r="H560" s="80" t="s">
        <v>1734</v>
      </c>
      <c r="I560" s="10" t="s">
        <v>54</v>
      </c>
      <c r="J560" s="88" t="s">
        <v>1735</v>
      </c>
      <c r="K560" s="12" t="s">
        <v>55</v>
      </c>
      <c r="L560" s="12" t="s">
        <v>1736</v>
      </c>
      <c r="M560" s="93" t="s">
        <v>54</v>
      </c>
      <c r="N560" s="80" t="s">
        <v>1737</v>
      </c>
      <c r="O560" s="9"/>
      <c r="P560" s="9"/>
      <c r="Q560" s="7"/>
      <c r="R560" s="1"/>
    </row>
    <row r="561" spans="1:18" ht="51">
      <c r="A561" s="1"/>
      <c r="B561" s="6"/>
      <c r="C561" s="11">
        <f>SUBTOTAL(103,$D$4:D561)</f>
        <v>558</v>
      </c>
      <c r="D561" s="9" t="s">
        <v>1416</v>
      </c>
      <c r="E561" s="12" t="s">
        <v>1738</v>
      </c>
      <c r="F561" s="10" t="s">
        <v>8</v>
      </c>
      <c r="G561" s="10" t="s">
        <v>54</v>
      </c>
      <c r="H561" s="86" t="s">
        <v>10</v>
      </c>
      <c r="I561" s="10" t="s">
        <v>55</v>
      </c>
      <c r="J561" s="88" t="s">
        <v>9</v>
      </c>
      <c r="K561" s="93" t="s">
        <v>54</v>
      </c>
      <c r="L561" s="81" t="s">
        <v>177</v>
      </c>
      <c r="M561" s="10" t="s">
        <v>54</v>
      </c>
      <c r="N561" s="81" t="s">
        <v>177</v>
      </c>
      <c r="O561" s="9"/>
      <c r="P561" s="9"/>
      <c r="Q561" s="7"/>
      <c r="R561" s="1"/>
    </row>
    <row r="562" spans="1:18" ht="34">
      <c r="A562" s="1"/>
      <c r="B562" s="6"/>
      <c r="C562" s="11">
        <f>SUBTOTAL(103,$D$4:D562)</f>
        <v>559</v>
      </c>
      <c r="D562" s="9" t="s">
        <v>1416</v>
      </c>
      <c r="E562" s="12" t="s">
        <v>1739</v>
      </c>
      <c r="F562" s="10" t="s">
        <v>8</v>
      </c>
      <c r="G562" s="93" t="s">
        <v>54</v>
      </c>
      <c r="H562" s="80" t="s">
        <v>10</v>
      </c>
      <c r="I562" s="10" t="s">
        <v>55</v>
      </c>
      <c r="J562" s="12" t="s">
        <v>9</v>
      </c>
      <c r="K562" s="10" t="s">
        <v>54</v>
      </c>
      <c r="L562" s="81" t="s">
        <v>177</v>
      </c>
      <c r="M562" s="10" t="s">
        <v>54</v>
      </c>
      <c r="N562" s="81" t="s">
        <v>177</v>
      </c>
      <c r="O562" s="9"/>
      <c r="P562" s="9"/>
      <c r="Q562" s="7"/>
      <c r="R562" s="1"/>
    </row>
    <row r="563" spans="1:18" ht="51">
      <c r="A563" s="1"/>
      <c r="B563" s="6"/>
      <c r="C563" s="11">
        <f>SUBTOTAL(103,$D$4:D563)</f>
        <v>560</v>
      </c>
      <c r="D563" s="9" t="s">
        <v>1416</v>
      </c>
      <c r="E563" s="12" t="s">
        <v>1740</v>
      </c>
      <c r="F563" s="10" t="s">
        <v>8</v>
      </c>
      <c r="G563" s="12" t="s">
        <v>55</v>
      </c>
      <c r="H563" s="80" t="s">
        <v>10</v>
      </c>
      <c r="I563" s="10" t="s">
        <v>54</v>
      </c>
      <c r="J563" s="12" t="s">
        <v>9</v>
      </c>
      <c r="K563" s="93" t="s">
        <v>54</v>
      </c>
      <c r="L563" s="81" t="s">
        <v>177</v>
      </c>
      <c r="M563" s="10" t="s">
        <v>54</v>
      </c>
      <c r="N563" s="81" t="s">
        <v>177</v>
      </c>
      <c r="O563" s="9"/>
      <c r="P563" s="9"/>
      <c r="Q563" s="7"/>
      <c r="R563" s="1"/>
    </row>
    <row r="564" spans="1:18" ht="68">
      <c r="A564" s="1"/>
      <c r="B564" s="6"/>
      <c r="C564" s="11">
        <f>SUBTOTAL(103,$D$4:D564)</f>
        <v>561</v>
      </c>
      <c r="D564" s="9" t="s">
        <v>1416</v>
      </c>
      <c r="E564" s="12" t="s">
        <v>1741</v>
      </c>
      <c r="F564" s="10" t="s">
        <v>8</v>
      </c>
      <c r="G564" s="10" t="s">
        <v>54</v>
      </c>
      <c r="H564" s="80" t="s">
        <v>10</v>
      </c>
      <c r="I564" s="10" t="s">
        <v>55</v>
      </c>
      <c r="J564" s="12" t="s">
        <v>9</v>
      </c>
      <c r="K564" s="10" t="s">
        <v>54</v>
      </c>
      <c r="L564" s="81" t="s">
        <v>177</v>
      </c>
      <c r="M564" s="10" t="s">
        <v>54</v>
      </c>
      <c r="N564" s="81" t="s">
        <v>177</v>
      </c>
      <c r="O564" s="9"/>
      <c r="P564" s="9"/>
      <c r="Q564" s="7"/>
      <c r="R564" s="1"/>
    </row>
    <row r="565" spans="1:18" ht="51">
      <c r="A565" s="1"/>
      <c r="B565" s="6"/>
      <c r="C565" s="11">
        <f>SUBTOTAL(103,$D$4:D565)</f>
        <v>562</v>
      </c>
      <c r="D565" s="9" t="s">
        <v>1416</v>
      </c>
      <c r="E565" s="12" t="s">
        <v>1742</v>
      </c>
      <c r="F565" s="10" t="s">
        <v>8</v>
      </c>
      <c r="G565" s="12" t="s">
        <v>55</v>
      </c>
      <c r="H565" s="80" t="s">
        <v>10</v>
      </c>
      <c r="I565" s="10" t="s">
        <v>54</v>
      </c>
      <c r="J565" s="12" t="s">
        <v>9</v>
      </c>
      <c r="K565" s="10" t="s">
        <v>54</v>
      </c>
      <c r="L565" s="81" t="s">
        <v>177</v>
      </c>
      <c r="M565" s="10" t="s">
        <v>54</v>
      </c>
      <c r="N565" s="81" t="s">
        <v>177</v>
      </c>
      <c r="O565" s="9"/>
      <c r="P565" s="9"/>
      <c r="Q565" s="7"/>
      <c r="R565" s="1"/>
    </row>
    <row r="566" spans="1:18" ht="51">
      <c r="A566" s="1"/>
      <c r="B566" s="6"/>
      <c r="C566" s="11">
        <f>SUBTOTAL(103,$D$4:D566)</f>
        <v>563</v>
      </c>
      <c r="D566" s="9" t="s">
        <v>1416</v>
      </c>
      <c r="E566" s="12" t="s">
        <v>1743</v>
      </c>
      <c r="F566" s="10" t="s">
        <v>8</v>
      </c>
      <c r="G566" s="10" t="s">
        <v>54</v>
      </c>
      <c r="H566" s="80" t="s">
        <v>10</v>
      </c>
      <c r="I566" s="10" t="s">
        <v>55</v>
      </c>
      <c r="J566" s="12" t="s">
        <v>9</v>
      </c>
      <c r="K566" s="10" t="s">
        <v>54</v>
      </c>
      <c r="L566" s="81" t="s">
        <v>177</v>
      </c>
      <c r="M566" s="10" t="s">
        <v>54</v>
      </c>
      <c r="N566" s="81" t="s">
        <v>177</v>
      </c>
      <c r="O566" s="9"/>
      <c r="P566" s="9"/>
      <c r="Q566" s="7"/>
      <c r="R566" s="1"/>
    </row>
    <row r="567" spans="1:18" ht="34">
      <c r="A567" s="1"/>
      <c r="B567" s="6"/>
      <c r="C567" s="11">
        <f>SUBTOTAL(103,$D$4:D567)</f>
        <v>564</v>
      </c>
      <c r="D567" s="9" t="s">
        <v>1416</v>
      </c>
      <c r="E567" s="12" t="s">
        <v>1744</v>
      </c>
      <c r="F567" s="10" t="s">
        <v>22</v>
      </c>
      <c r="G567" s="10" t="s">
        <v>54</v>
      </c>
      <c r="H567" s="80" t="s">
        <v>1745</v>
      </c>
      <c r="I567" s="10" t="s">
        <v>54</v>
      </c>
      <c r="J567" s="12" t="s">
        <v>1746</v>
      </c>
      <c r="K567" s="10" t="s">
        <v>54</v>
      </c>
      <c r="L567" s="12" t="s">
        <v>1747</v>
      </c>
      <c r="M567" s="10" t="s">
        <v>55</v>
      </c>
      <c r="N567" s="80" t="s">
        <v>1748</v>
      </c>
      <c r="O567" s="9"/>
      <c r="P567" s="9"/>
      <c r="Q567" s="7"/>
      <c r="R567" s="1"/>
    </row>
    <row r="568" spans="1:18" ht="51">
      <c r="A568" s="1"/>
      <c r="B568" s="6"/>
      <c r="C568" s="11">
        <f>SUBTOTAL(103,$D$4:D568)</f>
        <v>565</v>
      </c>
      <c r="D568" s="9" t="s">
        <v>1416</v>
      </c>
      <c r="E568" s="12" t="s">
        <v>1749</v>
      </c>
      <c r="F568" s="10" t="s">
        <v>22</v>
      </c>
      <c r="G568" s="10" t="s">
        <v>54</v>
      </c>
      <c r="H568" s="80" t="s">
        <v>1750</v>
      </c>
      <c r="I568" s="10" t="s">
        <v>55</v>
      </c>
      <c r="J568" s="12" t="s">
        <v>1751</v>
      </c>
      <c r="K568" s="10" t="s">
        <v>54</v>
      </c>
      <c r="L568" s="12" t="s">
        <v>1752</v>
      </c>
      <c r="M568" s="10" t="s">
        <v>54</v>
      </c>
      <c r="N568" s="80" t="s">
        <v>1753</v>
      </c>
      <c r="O568" s="9"/>
      <c r="P568" s="9"/>
      <c r="Q568" s="7"/>
      <c r="R568" s="1"/>
    </row>
    <row r="569" spans="1:18" ht="34">
      <c r="A569" s="1"/>
      <c r="B569" s="6"/>
      <c r="C569" s="11">
        <f>SUBTOTAL(103,$D$4:D569)</f>
        <v>566</v>
      </c>
      <c r="D569" s="9" t="s">
        <v>1416</v>
      </c>
      <c r="E569" s="12" t="s">
        <v>1754</v>
      </c>
      <c r="F569" s="10" t="s">
        <v>8</v>
      </c>
      <c r="G569" s="12" t="s">
        <v>55</v>
      </c>
      <c r="H569" s="80" t="s">
        <v>10</v>
      </c>
      <c r="I569" s="10" t="s">
        <v>54</v>
      </c>
      <c r="J569" s="12" t="s">
        <v>9</v>
      </c>
      <c r="K569" s="10" t="s">
        <v>54</v>
      </c>
      <c r="L569" s="81" t="s">
        <v>177</v>
      </c>
      <c r="M569" s="10" t="s">
        <v>54</v>
      </c>
      <c r="N569" s="81" t="s">
        <v>177</v>
      </c>
      <c r="O569" s="9"/>
      <c r="P569" s="9"/>
      <c r="Q569" s="7"/>
      <c r="R569" s="1"/>
    </row>
    <row r="570" spans="1:18" ht="51">
      <c r="A570" s="1"/>
      <c r="B570" s="6"/>
      <c r="C570" s="11">
        <f>SUBTOTAL(103,$D$4:D570)</f>
        <v>567</v>
      </c>
      <c r="D570" s="9" t="s">
        <v>1416</v>
      </c>
      <c r="E570" s="12" t="s">
        <v>1755</v>
      </c>
      <c r="F570" s="10" t="s">
        <v>8</v>
      </c>
      <c r="G570" s="93" t="s">
        <v>54</v>
      </c>
      <c r="H570" s="80" t="s">
        <v>10</v>
      </c>
      <c r="I570" s="10" t="s">
        <v>55</v>
      </c>
      <c r="J570" s="12" t="s">
        <v>9</v>
      </c>
      <c r="K570" s="10" t="s">
        <v>54</v>
      </c>
      <c r="L570" s="81" t="s">
        <v>177</v>
      </c>
      <c r="M570" s="10" t="s">
        <v>54</v>
      </c>
      <c r="N570" s="81" t="s">
        <v>177</v>
      </c>
      <c r="O570" s="9"/>
      <c r="P570" s="9"/>
      <c r="Q570" s="7"/>
      <c r="R570" s="1"/>
    </row>
    <row r="571" spans="1:18" ht="51">
      <c r="A571" s="1"/>
      <c r="B571" s="6"/>
      <c r="C571" s="11">
        <f>SUBTOTAL(103,$D$4:D571)</f>
        <v>568</v>
      </c>
      <c r="D571" s="9" t="s">
        <v>1416</v>
      </c>
      <c r="E571" s="12" t="s">
        <v>1756</v>
      </c>
      <c r="F571" s="10" t="s">
        <v>8</v>
      </c>
      <c r="G571" s="93" t="s">
        <v>54</v>
      </c>
      <c r="H571" s="80" t="s">
        <v>10</v>
      </c>
      <c r="I571" s="10" t="s">
        <v>55</v>
      </c>
      <c r="J571" s="12" t="s">
        <v>9</v>
      </c>
      <c r="K571" s="10" t="s">
        <v>54</v>
      </c>
      <c r="L571" s="81" t="s">
        <v>177</v>
      </c>
      <c r="M571" s="10" t="s">
        <v>54</v>
      </c>
      <c r="N571" s="81" t="s">
        <v>177</v>
      </c>
      <c r="O571" s="9"/>
      <c r="P571" s="9"/>
      <c r="Q571" s="7"/>
      <c r="R571" s="1"/>
    </row>
    <row r="572" spans="1:18" ht="34">
      <c r="A572" s="1"/>
      <c r="B572" s="6"/>
      <c r="C572" s="11">
        <f>SUBTOTAL(103,$D$4:D572)</f>
        <v>569</v>
      </c>
      <c r="D572" s="9" t="s">
        <v>1416</v>
      </c>
      <c r="E572" s="12" t="s">
        <v>1757</v>
      </c>
      <c r="F572" s="10" t="s">
        <v>8</v>
      </c>
      <c r="G572" s="12" t="s">
        <v>55</v>
      </c>
      <c r="H572" s="80" t="s">
        <v>10</v>
      </c>
      <c r="I572" s="10" t="s">
        <v>54</v>
      </c>
      <c r="J572" s="12" t="s">
        <v>9</v>
      </c>
      <c r="K572" s="10" t="s">
        <v>54</v>
      </c>
      <c r="L572" s="81" t="s">
        <v>177</v>
      </c>
      <c r="M572" s="93" t="s">
        <v>54</v>
      </c>
      <c r="N572" s="81" t="s">
        <v>177</v>
      </c>
      <c r="O572" s="9"/>
      <c r="P572" s="9"/>
      <c r="Q572" s="7"/>
      <c r="R572" s="1"/>
    </row>
    <row r="573" spans="1:18" ht="34">
      <c r="A573" s="1"/>
      <c r="B573" s="6"/>
      <c r="C573" s="11">
        <f>SUBTOTAL(103,$D$4:D573)</f>
        <v>570</v>
      </c>
      <c r="D573" s="9" t="s">
        <v>1416</v>
      </c>
      <c r="E573" s="12" t="s">
        <v>1758</v>
      </c>
      <c r="F573" s="10" t="s">
        <v>8</v>
      </c>
      <c r="G573" s="10" t="s">
        <v>54</v>
      </c>
      <c r="H573" s="80" t="s">
        <v>10</v>
      </c>
      <c r="I573" s="10" t="s">
        <v>55</v>
      </c>
      <c r="J573" s="12" t="s">
        <v>9</v>
      </c>
      <c r="K573" s="10" t="s">
        <v>54</v>
      </c>
      <c r="L573" s="81" t="s">
        <v>177</v>
      </c>
      <c r="M573" s="10" t="s">
        <v>54</v>
      </c>
      <c r="N573" s="81" t="s">
        <v>177</v>
      </c>
      <c r="O573" s="9"/>
      <c r="P573" s="9"/>
      <c r="Q573" s="7"/>
      <c r="R573" s="1"/>
    </row>
    <row r="574" spans="1:18" ht="51">
      <c r="A574" s="1"/>
      <c r="B574" s="6"/>
      <c r="C574" s="11">
        <f>SUBTOTAL(103,$D$4:D574)</f>
        <v>571</v>
      </c>
      <c r="D574" s="9" t="s">
        <v>1416</v>
      </c>
      <c r="E574" s="12" t="s">
        <v>1759</v>
      </c>
      <c r="F574" s="10" t="s">
        <v>8</v>
      </c>
      <c r="G574" s="10" t="s">
        <v>54</v>
      </c>
      <c r="H574" s="80" t="s">
        <v>10</v>
      </c>
      <c r="I574" s="10" t="s">
        <v>55</v>
      </c>
      <c r="J574" s="12" t="s">
        <v>9</v>
      </c>
      <c r="K574" s="10" t="s">
        <v>54</v>
      </c>
      <c r="L574" s="81" t="s">
        <v>177</v>
      </c>
      <c r="M574" s="10" t="s">
        <v>54</v>
      </c>
      <c r="N574" s="81" t="s">
        <v>177</v>
      </c>
      <c r="O574" s="9"/>
      <c r="P574" s="9"/>
      <c r="Q574" s="7"/>
      <c r="R574" s="1"/>
    </row>
    <row r="575" spans="1:18" ht="68">
      <c r="A575" s="1"/>
      <c r="B575" s="6"/>
      <c r="C575" s="11">
        <f>SUBTOTAL(103,$D$4:D575)</f>
        <v>572</v>
      </c>
      <c r="D575" s="9" t="s">
        <v>1416</v>
      </c>
      <c r="E575" s="12" t="s">
        <v>1760</v>
      </c>
      <c r="F575" s="10" t="s">
        <v>12</v>
      </c>
      <c r="G575" s="10" t="s">
        <v>54</v>
      </c>
      <c r="H575" s="80" t="s">
        <v>1764</v>
      </c>
      <c r="I575" s="10" t="s">
        <v>54</v>
      </c>
      <c r="J575" s="12" t="s">
        <v>1763</v>
      </c>
      <c r="K575" s="10" t="s">
        <v>55</v>
      </c>
      <c r="L575" s="12" t="s">
        <v>1762</v>
      </c>
      <c r="M575" s="10" t="s">
        <v>55</v>
      </c>
      <c r="N575" s="80" t="s">
        <v>1761</v>
      </c>
      <c r="O575" s="9"/>
      <c r="P575" s="9"/>
      <c r="Q575" s="7"/>
      <c r="R575" s="1"/>
    </row>
    <row r="576" spans="1:18" ht="102">
      <c r="A576" s="1"/>
      <c r="B576" s="6"/>
      <c r="C576" s="11">
        <f>SUBTOTAL(103,$D$4:D576)</f>
        <v>573</v>
      </c>
      <c r="D576" s="9" t="s">
        <v>1416</v>
      </c>
      <c r="E576" s="12" t="s">
        <v>1765</v>
      </c>
      <c r="F576" s="10" t="s">
        <v>12</v>
      </c>
      <c r="G576" s="10" t="s">
        <v>55</v>
      </c>
      <c r="H576" s="80" t="s">
        <v>1766</v>
      </c>
      <c r="I576" s="10" t="s">
        <v>55</v>
      </c>
      <c r="J576" s="12" t="s">
        <v>1767</v>
      </c>
      <c r="K576" s="10" t="s">
        <v>54</v>
      </c>
      <c r="L576" s="12" t="s">
        <v>1769</v>
      </c>
      <c r="M576" s="10" t="s">
        <v>54</v>
      </c>
      <c r="N576" s="80" t="s">
        <v>1768</v>
      </c>
      <c r="O576" s="9"/>
      <c r="P576" s="9"/>
      <c r="Q576" s="7"/>
      <c r="R576" s="1"/>
    </row>
    <row r="577" spans="1:18" ht="119">
      <c r="A577" s="1"/>
      <c r="B577" s="6"/>
      <c r="C577" s="11">
        <f>SUBTOTAL(103,$D$4:D577)</f>
        <v>574</v>
      </c>
      <c r="D577" s="9" t="s">
        <v>1416</v>
      </c>
      <c r="E577" s="12" t="s">
        <v>1770</v>
      </c>
      <c r="F577" s="10" t="s">
        <v>12</v>
      </c>
      <c r="G577" s="10" t="s">
        <v>55</v>
      </c>
      <c r="H577" s="80" t="s">
        <v>1774</v>
      </c>
      <c r="I577" s="10" t="s">
        <v>55</v>
      </c>
      <c r="J577" s="12" t="s">
        <v>1773</v>
      </c>
      <c r="K577" s="10" t="s">
        <v>54</v>
      </c>
      <c r="L577" s="12" t="s">
        <v>1772</v>
      </c>
      <c r="M577" s="10" t="s">
        <v>55</v>
      </c>
      <c r="N577" s="80" t="s">
        <v>1771</v>
      </c>
      <c r="O577" s="9"/>
      <c r="P577" s="9"/>
      <c r="Q577" s="7"/>
      <c r="R577" s="1"/>
    </row>
    <row r="578" spans="1:18" ht="102">
      <c r="A578" s="1"/>
      <c r="B578" s="6"/>
      <c r="C578" s="11">
        <f>SUBTOTAL(103,$D$4:D578)</f>
        <v>575</v>
      </c>
      <c r="D578" s="9" t="s">
        <v>1416</v>
      </c>
      <c r="E578" s="12" t="s">
        <v>1775</v>
      </c>
      <c r="F578" s="10" t="s">
        <v>22</v>
      </c>
      <c r="G578" s="10" t="s">
        <v>55</v>
      </c>
      <c r="H578" s="80" t="s">
        <v>1779</v>
      </c>
      <c r="I578" s="10" t="s">
        <v>54</v>
      </c>
      <c r="J578" s="12" t="s">
        <v>1778</v>
      </c>
      <c r="K578" s="10" t="s">
        <v>54</v>
      </c>
      <c r="L578" s="12" t="s">
        <v>1777</v>
      </c>
      <c r="M578" s="10" t="s">
        <v>54</v>
      </c>
      <c r="N578" s="80" t="s">
        <v>1776</v>
      </c>
      <c r="O578" s="9"/>
      <c r="P578" s="9"/>
      <c r="Q578" s="7"/>
      <c r="R578" s="1"/>
    </row>
    <row r="579" spans="1:18" ht="34">
      <c r="A579" s="1"/>
      <c r="B579" s="6"/>
      <c r="C579" s="11">
        <f>SUBTOTAL(103,$D$4:D579)</f>
        <v>576</v>
      </c>
      <c r="D579" s="9" t="s">
        <v>1416</v>
      </c>
      <c r="E579" s="12" t="s">
        <v>2422</v>
      </c>
      <c r="F579" s="10" t="s">
        <v>22</v>
      </c>
      <c r="G579" s="10" t="s">
        <v>54</v>
      </c>
      <c r="H579" s="80" t="s">
        <v>1618</v>
      </c>
      <c r="I579" s="10" t="s">
        <v>55</v>
      </c>
      <c r="J579" s="12" t="s">
        <v>1781</v>
      </c>
      <c r="K579" s="10" t="s">
        <v>54</v>
      </c>
      <c r="L579" s="12" t="s">
        <v>1780</v>
      </c>
      <c r="M579" s="10" t="s">
        <v>54</v>
      </c>
      <c r="N579" s="80" t="s">
        <v>1605</v>
      </c>
      <c r="O579" s="9"/>
      <c r="P579" s="9"/>
      <c r="Q579" s="7"/>
      <c r="R579" s="1"/>
    </row>
    <row r="580" spans="1:18" ht="68">
      <c r="A580" s="1"/>
      <c r="B580" s="6"/>
      <c r="C580" s="11">
        <f>SUBTOTAL(103,$D$4:D580)</f>
        <v>577</v>
      </c>
      <c r="D580" s="9" t="s">
        <v>1416</v>
      </c>
      <c r="E580" s="12" t="s">
        <v>1782</v>
      </c>
      <c r="F580" s="10" t="s">
        <v>12</v>
      </c>
      <c r="G580" s="10" t="s">
        <v>55</v>
      </c>
      <c r="H580" s="80" t="s">
        <v>1783</v>
      </c>
      <c r="I580" s="10" t="s">
        <v>55</v>
      </c>
      <c r="J580" s="12" t="s">
        <v>1784</v>
      </c>
      <c r="K580" s="10" t="s">
        <v>54</v>
      </c>
      <c r="L580" s="12" t="s">
        <v>1785</v>
      </c>
      <c r="M580" s="10" t="s">
        <v>54</v>
      </c>
      <c r="N580" s="80" t="s">
        <v>1786</v>
      </c>
      <c r="O580" s="9"/>
      <c r="P580" s="9"/>
      <c r="Q580" s="7"/>
      <c r="R580" s="1"/>
    </row>
    <row r="581" spans="1:18" ht="51">
      <c r="A581" s="1"/>
      <c r="B581" s="6"/>
      <c r="C581" s="11">
        <f>SUBTOTAL(103,$D$4:D581)</f>
        <v>578</v>
      </c>
      <c r="D581" s="9" t="s">
        <v>1416</v>
      </c>
      <c r="E581" s="12" t="s">
        <v>1787</v>
      </c>
      <c r="F581" s="10" t="s">
        <v>12</v>
      </c>
      <c r="G581" s="10" t="s">
        <v>55</v>
      </c>
      <c r="H581" s="80" t="s">
        <v>1791</v>
      </c>
      <c r="I581" s="10" t="s">
        <v>55</v>
      </c>
      <c r="J581" s="12" t="s">
        <v>1790</v>
      </c>
      <c r="K581" s="10" t="s">
        <v>55</v>
      </c>
      <c r="L581" s="12" t="s">
        <v>1789</v>
      </c>
      <c r="M581" s="10" t="s">
        <v>55</v>
      </c>
      <c r="N581" s="80" t="s">
        <v>1788</v>
      </c>
      <c r="O581" s="9" t="s">
        <v>2329</v>
      </c>
      <c r="P581" s="9"/>
      <c r="Q581" s="7"/>
      <c r="R581" s="1"/>
    </row>
    <row r="582" spans="1:18" ht="119">
      <c r="A582" s="1"/>
      <c r="B582" s="6"/>
      <c r="C582" s="11">
        <f>SUBTOTAL(103,$D$4:D582)</f>
        <v>579</v>
      </c>
      <c r="D582" s="9" t="s">
        <v>1416</v>
      </c>
      <c r="E582" s="12" t="s">
        <v>1792</v>
      </c>
      <c r="F582" s="10" t="s">
        <v>12</v>
      </c>
      <c r="G582" s="10" t="s">
        <v>55</v>
      </c>
      <c r="H582" s="80" t="s">
        <v>1793</v>
      </c>
      <c r="I582" s="10" t="s">
        <v>55</v>
      </c>
      <c r="J582" s="12" t="s">
        <v>1794</v>
      </c>
      <c r="K582" s="10" t="s">
        <v>54</v>
      </c>
      <c r="L582" s="12" t="s">
        <v>1796</v>
      </c>
      <c r="M582" s="10" t="s">
        <v>54</v>
      </c>
      <c r="N582" s="80" t="s">
        <v>1795</v>
      </c>
      <c r="O582" s="9"/>
      <c r="P582" s="9"/>
      <c r="Q582" s="7"/>
      <c r="R582" s="1"/>
    </row>
    <row r="583" spans="1:18" ht="68">
      <c r="A583" s="1"/>
      <c r="B583" s="6"/>
      <c r="C583" s="11">
        <f>SUBTOTAL(103,$D$4:D583)</f>
        <v>580</v>
      </c>
      <c r="D583" s="9" t="s">
        <v>1416</v>
      </c>
      <c r="E583" s="12" t="s">
        <v>1797</v>
      </c>
      <c r="F583" s="10" t="s">
        <v>22</v>
      </c>
      <c r="G583" s="10" t="s">
        <v>54</v>
      </c>
      <c r="H583" s="80" t="s">
        <v>1798</v>
      </c>
      <c r="I583" s="10" t="s">
        <v>55</v>
      </c>
      <c r="J583" s="12" t="s">
        <v>1799</v>
      </c>
      <c r="K583" s="10" t="s">
        <v>54</v>
      </c>
      <c r="L583" s="12" t="s">
        <v>1800</v>
      </c>
      <c r="M583" s="10" t="s">
        <v>54</v>
      </c>
      <c r="N583" s="80" t="s">
        <v>1801</v>
      </c>
      <c r="O583" s="9"/>
      <c r="P583" s="9"/>
      <c r="Q583" s="7"/>
      <c r="R583" s="1"/>
    </row>
    <row r="584" spans="1:18" ht="51">
      <c r="A584" s="1"/>
      <c r="B584" s="6"/>
      <c r="C584" s="11">
        <f>SUBTOTAL(103,$D$4:D584)</f>
        <v>581</v>
      </c>
      <c r="D584" s="9" t="s">
        <v>1416</v>
      </c>
      <c r="E584" s="12" t="s">
        <v>1802</v>
      </c>
      <c r="F584" s="10" t="s">
        <v>22</v>
      </c>
      <c r="G584" s="10" t="s">
        <v>55</v>
      </c>
      <c r="H584" s="80" t="s">
        <v>1805</v>
      </c>
      <c r="I584" s="10" t="s">
        <v>54</v>
      </c>
      <c r="J584" s="12" t="s">
        <v>1806</v>
      </c>
      <c r="K584" s="10" t="s">
        <v>54</v>
      </c>
      <c r="L584" s="12" t="s">
        <v>1804</v>
      </c>
      <c r="M584" s="10" t="s">
        <v>54</v>
      </c>
      <c r="N584" s="80" t="s">
        <v>1803</v>
      </c>
      <c r="O584" s="9"/>
      <c r="P584" s="9"/>
      <c r="Q584" s="7"/>
      <c r="R584" s="1"/>
    </row>
    <row r="585" spans="1:18" ht="85">
      <c r="A585" s="1"/>
      <c r="B585" s="6"/>
      <c r="C585" s="11">
        <f>SUBTOTAL(103,$D$4:D585)</f>
        <v>582</v>
      </c>
      <c r="D585" s="9" t="s">
        <v>1416</v>
      </c>
      <c r="E585" s="12" t="s">
        <v>1807</v>
      </c>
      <c r="F585" s="10" t="s">
        <v>22</v>
      </c>
      <c r="G585" s="93" t="s">
        <v>54</v>
      </c>
      <c r="H585" s="80" t="s">
        <v>1809</v>
      </c>
      <c r="I585" s="10" t="s">
        <v>54</v>
      </c>
      <c r="J585" s="12" t="s">
        <v>1810</v>
      </c>
      <c r="K585" s="10" t="s">
        <v>55</v>
      </c>
      <c r="L585" s="12" t="s">
        <v>1811</v>
      </c>
      <c r="M585" s="10" t="s">
        <v>54</v>
      </c>
      <c r="N585" s="80" t="s">
        <v>1808</v>
      </c>
      <c r="O585" s="9"/>
      <c r="P585" s="9"/>
      <c r="Q585" s="7"/>
      <c r="R585" s="1"/>
    </row>
    <row r="586" spans="1:18" ht="136">
      <c r="A586" s="1"/>
      <c r="B586" s="6"/>
      <c r="C586" s="11">
        <f>SUBTOTAL(103,$D$4:D586)</f>
        <v>583</v>
      </c>
      <c r="D586" s="9" t="s">
        <v>1416</v>
      </c>
      <c r="E586" s="12" t="s">
        <v>1812</v>
      </c>
      <c r="F586" s="10" t="s">
        <v>12</v>
      </c>
      <c r="G586" s="93" t="s">
        <v>55</v>
      </c>
      <c r="H586" s="80" t="s">
        <v>1813</v>
      </c>
      <c r="I586" s="10" t="s">
        <v>55</v>
      </c>
      <c r="J586" s="12" t="s">
        <v>1814</v>
      </c>
      <c r="K586" s="10" t="s">
        <v>54</v>
      </c>
      <c r="L586" s="12" t="s">
        <v>1815</v>
      </c>
      <c r="M586" s="10" t="s">
        <v>55</v>
      </c>
      <c r="N586" s="80" t="s">
        <v>1816</v>
      </c>
      <c r="O586" s="9"/>
      <c r="P586" s="9"/>
      <c r="Q586" s="7"/>
      <c r="R586" s="1"/>
    </row>
    <row r="587" spans="1:18" ht="119">
      <c r="A587" s="1"/>
      <c r="B587" s="6"/>
      <c r="C587" s="11">
        <f>SUBTOTAL(103,$D$4:D587)</f>
        <v>584</v>
      </c>
      <c r="D587" s="9" t="s">
        <v>1416</v>
      </c>
      <c r="E587" s="12" t="s">
        <v>1835</v>
      </c>
      <c r="F587" s="10" t="s">
        <v>8</v>
      </c>
      <c r="G587" s="88" t="s">
        <v>55</v>
      </c>
      <c r="H587" s="80" t="s">
        <v>10</v>
      </c>
      <c r="I587" s="10" t="s">
        <v>54</v>
      </c>
      <c r="J587" s="12" t="s">
        <v>9</v>
      </c>
      <c r="K587" s="10" t="s">
        <v>54</v>
      </c>
      <c r="L587" s="81" t="s">
        <v>177</v>
      </c>
      <c r="M587" s="10" t="s">
        <v>54</v>
      </c>
      <c r="N587" s="81" t="s">
        <v>177</v>
      </c>
      <c r="O587" s="9"/>
      <c r="P587" s="9"/>
      <c r="Q587" s="7"/>
      <c r="R587" s="1"/>
    </row>
    <row r="588" spans="1:18" ht="102">
      <c r="A588" s="1"/>
      <c r="B588" s="6"/>
      <c r="C588" s="11">
        <f>SUBTOTAL(103,$D$4:D588)</f>
        <v>585</v>
      </c>
      <c r="D588" s="9" t="s">
        <v>1416</v>
      </c>
      <c r="E588" s="12" t="s">
        <v>1836</v>
      </c>
      <c r="F588" s="10" t="s">
        <v>8</v>
      </c>
      <c r="G588" s="88" t="s">
        <v>55</v>
      </c>
      <c r="H588" s="80" t="s">
        <v>10</v>
      </c>
      <c r="I588" s="10" t="s">
        <v>54</v>
      </c>
      <c r="J588" s="12" t="s">
        <v>9</v>
      </c>
      <c r="K588" s="10" t="s">
        <v>54</v>
      </c>
      <c r="L588" s="81" t="s">
        <v>177</v>
      </c>
      <c r="M588" s="10" t="s">
        <v>54</v>
      </c>
      <c r="N588" s="81" t="s">
        <v>177</v>
      </c>
      <c r="O588" s="9"/>
      <c r="P588" s="9"/>
      <c r="Q588" s="7"/>
      <c r="R588" s="1"/>
    </row>
    <row r="589" spans="1:18" ht="85">
      <c r="A589" s="1"/>
      <c r="B589" s="6"/>
      <c r="C589" s="11">
        <f>SUBTOTAL(103,$D$4:D589)</f>
        <v>586</v>
      </c>
      <c r="D589" s="9" t="s">
        <v>1416</v>
      </c>
      <c r="E589" s="12" t="s">
        <v>1837</v>
      </c>
      <c r="F589" s="10" t="s">
        <v>8</v>
      </c>
      <c r="G589" s="88" t="s">
        <v>55</v>
      </c>
      <c r="H589" s="80" t="s">
        <v>10</v>
      </c>
      <c r="I589" s="93" t="s">
        <v>54</v>
      </c>
      <c r="J589" s="12" t="s">
        <v>9</v>
      </c>
      <c r="K589" s="10" t="s">
        <v>54</v>
      </c>
      <c r="L589" s="81" t="s">
        <v>177</v>
      </c>
      <c r="M589" s="93" t="s">
        <v>54</v>
      </c>
      <c r="N589" s="81" t="s">
        <v>177</v>
      </c>
      <c r="O589" s="9" t="s">
        <v>1838</v>
      </c>
      <c r="P589" s="9"/>
      <c r="Q589" s="7"/>
      <c r="R589" s="1"/>
    </row>
    <row r="590" spans="1:18" ht="102">
      <c r="A590" s="1"/>
      <c r="B590" s="6"/>
      <c r="C590" s="11">
        <f>SUBTOTAL(103,$D$4:D590)</f>
        <v>587</v>
      </c>
      <c r="D590" s="9" t="s">
        <v>1416</v>
      </c>
      <c r="E590" s="12" t="s">
        <v>1839</v>
      </c>
      <c r="F590" s="10" t="s">
        <v>12</v>
      </c>
      <c r="G590" s="12" t="s">
        <v>55</v>
      </c>
      <c r="H590" s="80" t="s">
        <v>1840</v>
      </c>
      <c r="I590" s="88" t="s">
        <v>55</v>
      </c>
      <c r="J590" s="12" t="s">
        <v>1841</v>
      </c>
      <c r="K590" s="12" t="s">
        <v>55</v>
      </c>
      <c r="L590" s="12" t="s">
        <v>1842</v>
      </c>
      <c r="M590" s="12" t="s">
        <v>55</v>
      </c>
      <c r="N590" s="80" t="s">
        <v>1843</v>
      </c>
      <c r="O590" s="9" t="s">
        <v>2328</v>
      </c>
      <c r="P590" s="9"/>
      <c r="Q590" s="7"/>
      <c r="R590" s="1"/>
    </row>
    <row r="591" spans="1:18" ht="68">
      <c r="A591" s="1"/>
      <c r="B591" s="6"/>
      <c r="C591" s="11">
        <f>SUBTOTAL(103,$D$4:D591)</f>
        <v>588</v>
      </c>
      <c r="D591" s="9" t="s">
        <v>1416</v>
      </c>
      <c r="E591" s="12" t="s">
        <v>1844</v>
      </c>
      <c r="F591" s="10" t="s">
        <v>8</v>
      </c>
      <c r="G591" s="12" t="s">
        <v>55</v>
      </c>
      <c r="H591" s="80" t="s">
        <v>10</v>
      </c>
      <c r="I591" s="93" t="s">
        <v>54</v>
      </c>
      <c r="J591" s="12" t="s">
        <v>9</v>
      </c>
      <c r="K591" s="93" t="s">
        <v>54</v>
      </c>
      <c r="L591" s="81" t="s">
        <v>177</v>
      </c>
      <c r="M591" s="10" t="s">
        <v>54</v>
      </c>
      <c r="N591" s="81" t="s">
        <v>177</v>
      </c>
      <c r="O591" s="9"/>
      <c r="P591" s="9"/>
      <c r="Q591" s="7"/>
      <c r="R591" s="1"/>
    </row>
    <row r="592" spans="1:18" ht="34">
      <c r="A592" s="1"/>
      <c r="B592" s="6"/>
      <c r="C592" s="11">
        <f>SUBTOTAL(103,$D$4:D592)</f>
        <v>589</v>
      </c>
      <c r="D592" s="9" t="s">
        <v>1416</v>
      </c>
      <c r="E592" s="12" t="s">
        <v>1845</v>
      </c>
      <c r="F592" s="10" t="s">
        <v>8</v>
      </c>
      <c r="G592" s="88" t="s">
        <v>55</v>
      </c>
      <c r="H592" s="80" t="s">
        <v>10</v>
      </c>
      <c r="I592" s="10" t="s">
        <v>54</v>
      </c>
      <c r="J592" s="12" t="s">
        <v>9</v>
      </c>
      <c r="K592" s="10" t="s">
        <v>54</v>
      </c>
      <c r="L592" s="81" t="s">
        <v>177</v>
      </c>
      <c r="M592" s="10" t="s">
        <v>54</v>
      </c>
      <c r="N592" s="81" t="s">
        <v>177</v>
      </c>
      <c r="O592" s="9"/>
      <c r="P592" s="9"/>
      <c r="Q592" s="7"/>
      <c r="R592" s="1"/>
    </row>
    <row r="593" spans="1:18" ht="34">
      <c r="A593" s="1"/>
      <c r="B593" s="6"/>
      <c r="C593" s="11">
        <f>SUBTOTAL(103,$D$4:D593)</f>
        <v>590</v>
      </c>
      <c r="D593" s="9" t="s">
        <v>1416</v>
      </c>
      <c r="E593" s="12" t="s">
        <v>1863</v>
      </c>
      <c r="F593" s="10" t="s">
        <v>8</v>
      </c>
      <c r="G593" s="10" t="s">
        <v>54</v>
      </c>
      <c r="H593" s="80" t="s">
        <v>10</v>
      </c>
      <c r="I593" s="12" t="s">
        <v>55</v>
      </c>
      <c r="J593" s="12" t="s">
        <v>9</v>
      </c>
      <c r="K593" s="93" t="s">
        <v>54</v>
      </c>
      <c r="L593" s="81" t="s">
        <v>177</v>
      </c>
      <c r="M593" s="10" t="s">
        <v>54</v>
      </c>
      <c r="N593" s="81" t="s">
        <v>177</v>
      </c>
      <c r="O593" s="9" t="s">
        <v>1864</v>
      </c>
      <c r="P593" s="9"/>
      <c r="Q593" s="7"/>
      <c r="R593" s="1"/>
    </row>
    <row r="594" spans="1:18" ht="34">
      <c r="A594" s="1"/>
      <c r="B594" s="6"/>
      <c r="C594" s="11">
        <f>SUBTOTAL(103,$D$4:D594)</f>
        <v>591</v>
      </c>
      <c r="D594" s="9" t="s">
        <v>1416</v>
      </c>
      <c r="E594" s="12" t="s">
        <v>1861</v>
      </c>
      <c r="F594" s="10" t="s">
        <v>8</v>
      </c>
      <c r="G594" s="93" t="s">
        <v>54</v>
      </c>
      <c r="H594" s="80" t="s">
        <v>10</v>
      </c>
      <c r="I594" s="12" t="s">
        <v>55</v>
      </c>
      <c r="J594" s="12" t="s">
        <v>9</v>
      </c>
      <c r="K594" s="10" t="s">
        <v>54</v>
      </c>
      <c r="L594" s="81" t="s">
        <v>177</v>
      </c>
      <c r="M594" s="10" t="s">
        <v>54</v>
      </c>
      <c r="N594" s="81" t="s">
        <v>177</v>
      </c>
      <c r="O594" s="9" t="s">
        <v>1862</v>
      </c>
      <c r="P594" s="9"/>
      <c r="Q594" s="7"/>
      <c r="R594" s="1"/>
    </row>
    <row r="595" spans="1:18" ht="34">
      <c r="A595" s="1"/>
      <c r="B595" s="6"/>
      <c r="C595" s="11">
        <f>SUBTOTAL(103,$D$4:D595)</f>
        <v>592</v>
      </c>
      <c r="D595" s="9" t="s">
        <v>1416</v>
      </c>
      <c r="E595" s="12" t="s">
        <v>2043</v>
      </c>
      <c r="F595" s="10" t="s">
        <v>22</v>
      </c>
      <c r="G595" s="88" t="s">
        <v>55</v>
      </c>
      <c r="H595" s="80" t="s">
        <v>2044</v>
      </c>
      <c r="I595" s="10" t="s">
        <v>54</v>
      </c>
      <c r="J595" s="12" t="s">
        <v>2045</v>
      </c>
      <c r="K595" s="10" t="s">
        <v>54</v>
      </c>
      <c r="L595" s="81" t="s">
        <v>2046</v>
      </c>
      <c r="M595" s="10" t="s">
        <v>54</v>
      </c>
      <c r="N595" s="81" t="s">
        <v>2047</v>
      </c>
      <c r="O595" s="9"/>
      <c r="P595" s="104" t="s">
        <v>2437</v>
      </c>
      <c r="Q595" s="7"/>
      <c r="R595" s="1"/>
    </row>
    <row r="596" spans="1:18" ht="68">
      <c r="A596" s="1"/>
      <c r="B596" s="6"/>
      <c r="C596" s="11">
        <f>SUBTOTAL(103,$D$4:D596)</f>
        <v>593</v>
      </c>
      <c r="D596" s="9" t="s">
        <v>1416</v>
      </c>
      <c r="E596" s="12" t="s">
        <v>2053</v>
      </c>
      <c r="F596" s="10" t="s">
        <v>22</v>
      </c>
      <c r="G596" s="10" t="s">
        <v>54</v>
      </c>
      <c r="H596" s="80" t="s">
        <v>2054</v>
      </c>
      <c r="I596" s="10" t="s">
        <v>54</v>
      </c>
      <c r="J596" s="12" t="s">
        <v>2055</v>
      </c>
      <c r="K596" s="10" t="s">
        <v>54</v>
      </c>
      <c r="L596" s="81" t="s">
        <v>2056</v>
      </c>
      <c r="M596" s="88" t="s">
        <v>55</v>
      </c>
      <c r="N596" s="81" t="s">
        <v>2057</v>
      </c>
      <c r="O596" s="9"/>
      <c r="P596" s="104" t="s">
        <v>2437</v>
      </c>
      <c r="Q596" s="7"/>
      <c r="R596" s="1"/>
    </row>
    <row r="597" spans="1:18" ht="34">
      <c r="A597" s="1"/>
      <c r="B597" s="6"/>
      <c r="C597" s="11">
        <f>SUBTOTAL(103,$D$4:D597)</f>
        <v>594</v>
      </c>
      <c r="D597" s="9" t="s">
        <v>1416</v>
      </c>
      <c r="E597" s="12" t="s">
        <v>1162</v>
      </c>
      <c r="F597" s="10" t="s">
        <v>22</v>
      </c>
      <c r="G597" s="93" t="s">
        <v>54</v>
      </c>
      <c r="H597" s="80" t="s">
        <v>1163</v>
      </c>
      <c r="I597" s="88" t="s">
        <v>55</v>
      </c>
      <c r="J597" s="12" t="s">
        <v>1160</v>
      </c>
      <c r="K597" s="93" t="s">
        <v>54</v>
      </c>
      <c r="L597" s="81" t="s">
        <v>1164</v>
      </c>
      <c r="M597" s="93" t="s">
        <v>54</v>
      </c>
      <c r="N597" s="80" t="s">
        <v>1165</v>
      </c>
      <c r="O597" s="9"/>
      <c r="P597" s="9"/>
      <c r="Q597" s="7"/>
      <c r="R597" s="1"/>
    </row>
    <row r="598" spans="1:18" ht="85">
      <c r="A598" s="1"/>
      <c r="B598" s="6"/>
      <c r="C598" s="11">
        <f>SUBTOTAL(103,$D$4:D598)</f>
        <v>595</v>
      </c>
      <c r="D598" s="9" t="s">
        <v>1416</v>
      </c>
      <c r="E598" s="12" t="s">
        <v>1138</v>
      </c>
      <c r="F598" s="10" t="s">
        <v>12</v>
      </c>
      <c r="G598" s="12" t="s">
        <v>55</v>
      </c>
      <c r="H598" s="80" t="s">
        <v>1139</v>
      </c>
      <c r="I598" s="12" t="s">
        <v>55</v>
      </c>
      <c r="J598" s="12" t="s">
        <v>1140</v>
      </c>
      <c r="K598" s="10" t="s">
        <v>54</v>
      </c>
      <c r="L598" s="81" t="s">
        <v>2294</v>
      </c>
      <c r="M598" s="88" t="s">
        <v>55</v>
      </c>
      <c r="N598" s="80" t="s">
        <v>1142</v>
      </c>
      <c r="O598" s="9"/>
      <c r="P598" s="9"/>
      <c r="Q598" s="7"/>
      <c r="R598" s="1"/>
    </row>
    <row r="599" spans="1:18" ht="51">
      <c r="A599" s="1"/>
      <c r="B599" s="6"/>
      <c r="C599" s="11">
        <f>SUBTOTAL(103,$D$4:D599)</f>
        <v>596</v>
      </c>
      <c r="D599" s="9" t="s">
        <v>1417</v>
      </c>
      <c r="E599" s="12" t="s">
        <v>2292</v>
      </c>
      <c r="F599" s="10" t="s">
        <v>8</v>
      </c>
      <c r="G599" s="10" t="s">
        <v>54</v>
      </c>
      <c r="H599" s="80" t="s">
        <v>10</v>
      </c>
      <c r="I599" s="88" t="s">
        <v>55</v>
      </c>
      <c r="J599" s="12" t="s">
        <v>9</v>
      </c>
      <c r="K599" s="10" t="s">
        <v>54</v>
      </c>
      <c r="L599" s="81" t="s">
        <v>177</v>
      </c>
      <c r="M599" s="93" t="s">
        <v>54</v>
      </c>
      <c r="N599" s="81" t="s">
        <v>177</v>
      </c>
      <c r="O599" s="9"/>
      <c r="P599" s="11">
        <v>324</v>
      </c>
      <c r="Q599" s="7"/>
      <c r="R599" s="1"/>
    </row>
    <row r="600" spans="1:18" ht="34">
      <c r="A600" s="1"/>
      <c r="B600" s="6"/>
      <c r="C600" s="11">
        <f>SUBTOTAL(103,$D$4:D600)</f>
        <v>597</v>
      </c>
      <c r="D600" s="9" t="s">
        <v>1417</v>
      </c>
      <c r="E600" s="12" t="s">
        <v>1264</v>
      </c>
      <c r="F600" s="10" t="s">
        <v>8</v>
      </c>
      <c r="G600" s="10" t="s">
        <v>54</v>
      </c>
      <c r="H600" s="80" t="s">
        <v>10</v>
      </c>
      <c r="I600" s="88" t="s">
        <v>55</v>
      </c>
      <c r="J600" s="12" t="s">
        <v>9</v>
      </c>
      <c r="K600" s="93" t="s">
        <v>54</v>
      </c>
      <c r="L600" s="81" t="s">
        <v>177</v>
      </c>
      <c r="M600" s="10" t="s">
        <v>54</v>
      </c>
      <c r="N600" s="81" t="s">
        <v>177</v>
      </c>
      <c r="O600" s="9"/>
      <c r="P600" s="11">
        <v>325</v>
      </c>
      <c r="Q600" s="7"/>
      <c r="R600" s="1"/>
    </row>
    <row r="601" spans="1:18" ht="34">
      <c r="A601" s="1"/>
      <c r="B601" s="6"/>
      <c r="C601" s="11">
        <f>SUBTOTAL(103,$D$4:D601)</f>
        <v>598</v>
      </c>
      <c r="D601" s="9" t="s">
        <v>1417</v>
      </c>
      <c r="E601" s="12" t="s">
        <v>1265</v>
      </c>
      <c r="F601" s="10" t="s">
        <v>8</v>
      </c>
      <c r="G601" s="88" t="s">
        <v>55</v>
      </c>
      <c r="H601" s="80" t="s">
        <v>10</v>
      </c>
      <c r="I601" s="10" t="s">
        <v>54</v>
      </c>
      <c r="J601" s="12" t="s">
        <v>9</v>
      </c>
      <c r="K601" s="10" t="s">
        <v>54</v>
      </c>
      <c r="L601" s="81" t="s">
        <v>177</v>
      </c>
      <c r="M601" s="10" t="s">
        <v>54</v>
      </c>
      <c r="N601" s="81" t="s">
        <v>177</v>
      </c>
      <c r="O601" s="9"/>
      <c r="P601" s="11">
        <v>326</v>
      </c>
      <c r="Q601" s="7"/>
      <c r="R601" s="1"/>
    </row>
    <row r="602" spans="1:18" ht="51">
      <c r="A602" s="1"/>
      <c r="B602" s="6"/>
      <c r="C602" s="11">
        <f>SUBTOTAL(103,$D$4:D602)</f>
        <v>599</v>
      </c>
      <c r="D602" s="9" t="s">
        <v>1417</v>
      </c>
      <c r="E602" s="12" t="s">
        <v>2291</v>
      </c>
      <c r="F602" s="10" t="s">
        <v>8</v>
      </c>
      <c r="G602" s="12" t="s">
        <v>55</v>
      </c>
      <c r="H602" s="80" t="s">
        <v>10</v>
      </c>
      <c r="I602" s="93" t="s">
        <v>54</v>
      </c>
      <c r="J602" s="12" t="s">
        <v>9</v>
      </c>
      <c r="K602" s="10" t="s">
        <v>54</v>
      </c>
      <c r="L602" s="81" t="s">
        <v>177</v>
      </c>
      <c r="M602" s="10" t="s">
        <v>54</v>
      </c>
      <c r="N602" s="81" t="s">
        <v>177</v>
      </c>
      <c r="O602" s="9"/>
      <c r="P602" s="11">
        <v>327</v>
      </c>
      <c r="Q602" s="7"/>
      <c r="R602" s="1"/>
    </row>
    <row r="603" spans="1:18" ht="51">
      <c r="A603" s="1"/>
      <c r="B603" s="6"/>
      <c r="C603" s="11">
        <f>SUBTOTAL(103,$D$4:D603)</f>
        <v>600</v>
      </c>
      <c r="D603" s="9" t="s">
        <v>1417</v>
      </c>
      <c r="E603" s="12" t="s">
        <v>1266</v>
      </c>
      <c r="F603" s="10" t="s">
        <v>8</v>
      </c>
      <c r="G603" s="10" t="s">
        <v>54</v>
      </c>
      <c r="H603" s="80" t="s">
        <v>10</v>
      </c>
      <c r="I603" s="12" t="s">
        <v>55</v>
      </c>
      <c r="J603" s="12" t="s">
        <v>9</v>
      </c>
      <c r="K603" s="10" t="s">
        <v>54</v>
      </c>
      <c r="L603" s="81" t="s">
        <v>177</v>
      </c>
      <c r="M603" s="10" t="s">
        <v>54</v>
      </c>
      <c r="N603" s="81" t="s">
        <v>177</v>
      </c>
      <c r="O603" s="9" t="s">
        <v>2423</v>
      </c>
      <c r="P603" s="11">
        <v>328</v>
      </c>
      <c r="Q603" s="7"/>
      <c r="R603" s="1"/>
    </row>
    <row r="604" spans="1:18" ht="34">
      <c r="A604" s="1"/>
      <c r="B604" s="6"/>
      <c r="C604" s="11">
        <f>SUBTOTAL(103,$D$4:D604)</f>
        <v>601</v>
      </c>
      <c r="D604" s="9" t="s">
        <v>1417</v>
      </c>
      <c r="E604" s="12" t="s">
        <v>1267</v>
      </c>
      <c r="F604" s="10" t="s">
        <v>12</v>
      </c>
      <c r="G604" s="12" t="s">
        <v>55</v>
      </c>
      <c r="H604" s="81" t="s">
        <v>1268</v>
      </c>
      <c r="I604" s="12" t="s">
        <v>55</v>
      </c>
      <c r="J604" s="81" t="s">
        <v>1269</v>
      </c>
      <c r="K604" s="10" t="s">
        <v>54</v>
      </c>
      <c r="L604" s="81" t="s">
        <v>1270</v>
      </c>
      <c r="M604" s="10" t="s">
        <v>54</v>
      </c>
      <c r="N604" s="81" t="s">
        <v>1271</v>
      </c>
      <c r="O604" s="9"/>
      <c r="P604" s="11">
        <v>329</v>
      </c>
      <c r="Q604" s="7"/>
      <c r="R604" s="1"/>
    </row>
    <row r="605" spans="1:18" ht="85">
      <c r="A605" s="1"/>
      <c r="B605" s="6"/>
      <c r="C605" s="11">
        <f>SUBTOTAL(103,$D$4:D605)</f>
        <v>602</v>
      </c>
      <c r="D605" s="9" t="s">
        <v>1417</v>
      </c>
      <c r="E605" s="12" t="s">
        <v>1272</v>
      </c>
      <c r="F605" s="10" t="s">
        <v>12</v>
      </c>
      <c r="G605" s="88" t="s">
        <v>55</v>
      </c>
      <c r="H605" s="81" t="s">
        <v>1273</v>
      </c>
      <c r="I605" s="10" t="s">
        <v>54</v>
      </c>
      <c r="J605" s="81" t="s">
        <v>1274</v>
      </c>
      <c r="K605" s="12" t="s">
        <v>55</v>
      </c>
      <c r="L605" s="81" t="s">
        <v>1275</v>
      </c>
      <c r="M605" s="12" t="s">
        <v>55</v>
      </c>
      <c r="N605" s="81" t="s">
        <v>1276</v>
      </c>
      <c r="O605" s="9"/>
      <c r="P605" s="11">
        <v>330</v>
      </c>
      <c r="Q605" s="7"/>
      <c r="R605" s="1"/>
    </row>
    <row r="606" spans="1:18" ht="85">
      <c r="A606" s="1"/>
      <c r="B606" s="6"/>
      <c r="C606" s="11">
        <f>SUBTOTAL(103,$D$4:D606)</f>
        <v>603</v>
      </c>
      <c r="D606" s="9" t="s">
        <v>1417</v>
      </c>
      <c r="E606" s="12" t="s">
        <v>1277</v>
      </c>
      <c r="F606" s="10" t="s">
        <v>22</v>
      </c>
      <c r="G606" s="10" t="s">
        <v>54</v>
      </c>
      <c r="H606" s="81" t="s">
        <v>1278</v>
      </c>
      <c r="I606" s="88" t="s">
        <v>55</v>
      </c>
      <c r="J606" s="81" t="s">
        <v>1279</v>
      </c>
      <c r="K606" s="93" t="s">
        <v>54</v>
      </c>
      <c r="L606" s="81" t="s">
        <v>1280</v>
      </c>
      <c r="M606" s="10" t="s">
        <v>54</v>
      </c>
      <c r="N606" s="81" t="s">
        <v>1281</v>
      </c>
      <c r="O606" s="9"/>
      <c r="P606" s="11">
        <v>331</v>
      </c>
      <c r="Q606" s="7"/>
      <c r="R606" s="1"/>
    </row>
    <row r="607" spans="1:18" ht="68">
      <c r="A607" s="1"/>
      <c r="B607" s="6"/>
      <c r="C607" s="11">
        <f>SUBTOTAL(103,$D$4:D607)</f>
        <v>604</v>
      </c>
      <c r="D607" s="9" t="s">
        <v>1417</v>
      </c>
      <c r="E607" s="12" t="s">
        <v>1282</v>
      </c>
      <c r="F607" s="10" t="s">
        <v>22</v>
      </c>
      <c r="G607" s="12" t="s">
        <v>55</v>
      </c>
      <c r="H607" s="81" t="s">
        <v>1284</v>
      </c>
      <c r="I607" s="10" t="s">
        <v>54</v>
      </c>
      <c r="J607" s="81" t="s">
        <v>1285</v>
      </c>
      <c r="K607" s="10" t="s">
        <v>54</v>
      </c>
      <c r="L607" s="81" t="s">
        <v>1286</v>
      </c>
      <c r="M607" s="10" t="s">
        <v>54</v>
      </c>
      <c r="N607" s="81" t="s">
        <v>1287</v>
      </c>
      <c r="O607" s="9"/>
      <c r="P607" s="11">
        <v>332</v>
      </c>
      <c r="Q607" s="7"/>
      <c r="R607" s="1"/>
    </row>
    <row r="608" spans="1:18" ht="34">
      <c r="A608" s="1"/>
      <c r="B608" s="6"/>
      <c r="C608" s="11">
        <f>SUBTOTAL(103,$D$4:D608)</f>
        <v>605</v>
      </c>
      <c r="D608" s="9" t="s">
        <v>1417</v>
      </c>
      <c r="E608" s="12" t="s">
        <v>1283</v>
      </c>
      <c r="F608" s="10" t="s">
        <v>22</v>
      </c>
      <c r="G608" s="10" t="s">
        <v>54</v>
      </c>
      <c r="H608" s="81" t="s">
        <v>1288</v>
      </c>
      <c r="I608" s="10" t="s">
        <v>54</v>
      </c>
      <c r="J608" s="81" t="s">
        <v>801</v>
      </c>
      <c r="K608" s="12" t="s">
        <v>55</v>
      </c>
      <c r="L608" s="81" t="s">
        <v>119</v>
      </c>
      <c r="M608" s="10" t="s">
        <v>54</v>
      </c>
      <c r="N608" s="81" t="s">
        <v>120</v>
      </c>
      <c r="O608" s="9"/>
      <c r="P608" s="11">
        <v>333</v>
      </c>
      <c r="Q608" s="7"/>
      <c r="R608" s="1"/>
    </row>
    <row r="609" spans="1:18" ht="102">
      <c r="A609" s="1"/>
      <c r="B609" s="6"/>
      <c r="C609" s="11">
        <f>SUBTOTAL(103,$D$4:D609)</f>
        <v>606</v>
      </c>
      <c r="D609" s="9" t="s">
        <v>1417</v>
      </c>
      <c r="E609" s="12" t="s">
        <v>179</v>
      </c>
      <c r="F609" s="10" t="s">
        <v>22</v>
      </c>
      <c r="G609" s="10" t="s">
        <v>54</v>
      </c>
      <c r="H609" s="80" t="s">
        <v>180</v>
      </c>
      <c r="I609" s="10" t="s">
        <v>54</v>
      </c>
      <c r="J609" s="12" t="s">
        <v>181</v>
      </c>
      <c r="K609" s="10" t="s">
        <v>54</v>
      </c>
      <c r="L609" s="12" t="s">
        <v>182</v>
      </c>
      <c r="M609" s="12" t="s">
        <v>55</v>
      </c>
      <c r="N609" s="80" t="s">
        <v>183</v>
      </c>
      <c r="O609" s="9"/>
      <c r="P609" s="9"/>
      <c r="Q609" s="7"/>
      <c r="R609" s="1"/>
    </row>
    <row r="610" spans="1:18" ht="51">
      <c r="A610" s="1"/>
      <c r="B610" s="6"/>
      <c r="C610" s="11">
        <f>SUBTOTAL(103,$D$4:D610)</f>
        <v>607</v>
      </c>
      <c r="D610" s="9" t="s">
        <v>1417</v>
      </c>
      <c r="E610" s="12" t="s">
        <v>1912</v>
      </c>
      <c r="F610" s="10" t="s">
        <v>12</v>
      </c>
      <c r="G610" s="12" t="s">
        <v>55</v>
      </c>
      <c r="H610" s="80" t="s">
        <v>1913</v>
      </c>
      <c r="I610" s="12" t="s">
        <v>55</v>
      </c>
      <c r="J610" s="12" t="s">
        <v>1909</v>
      </c>
      <c r="K610" s="10" t="s">
        <v>54</v>
      </c>
      <c r="L610" s="12" t="s">
        <v>1910</v>
      </c>
      <c r="M610" s="12" t="s">
        <v>55</v>
      </c>
      <c r="N610" s="80" t="s">
        <v>1911</v>
      </c>
      <c r="O610" s="9" t="s">
        <v>1914</v>
      </c>
      <c r="P610" s="9"/>
      <c r="Q610" s="7"/>
      <c r="R610" s="1"/>
    </row>
    <row r="611" spans="1:18" ht="85">
      <c r="A611" s="1"/>
      <c r="B611" s="6"/>
      <c r="C611" s="11">
        <f>SUBTOTAL(103,$D$4:D611)</f>
        <v>608</v>
      </c>
      <c r="D611" s="9" t="s">
        <v>1417</v>
      </c>
      <c r="E611" s="12" t="s">
        <v>184</v>
      </c>
      <c r="F611" s="10" t="s">
        <v>8</v>
      </c>
      <c r="G611" s="12" t="s">
        <v>55</v>
      </c>
      <c r="H611" s="80" t="s">
        <v>10</v>
      </c>
      <c r="I611" s="10" t="s">
        <v>54</v>
      </c>
      <c r="J611" s="12" t="s">
        <v>9</v>
      </c>
      <c r="K611" s="10" t="s">
        <v>54</v>
      </c>
      <c r="L611" s="81" t="s">
        <v>177</v>
      </c>
      <c r="M611" s="10" t="s">
        <v>54</v>
      </c>
      <c r="N611" s="81" t="s">
        <v>177</v>
      </c>
      <c r="O611" s="9"/>
      <c r="P611" s="9"/>
      <c r="Q611" s="7"/>
      <c r="R611" s="1"/>
    </row>
    <row r="612" spans="1:18" ht="68">
      <c r="A612" s="1"/>
      <c r="B612" s="6"/>
      <c r="C612" s="11">
        <f>SUBTOTAL(103,$D$4:D612)</f>
        <v>609</v>
      </c>
      <c r="D612" s="9" t="s">
        <v>1417</v>
      </c>
      <c r="E612" s="12" t="s">
        <v>185</v>
      </c>
      <c r="F612" s="10" t="s">
        <v>22</v>
      </c>
      <c r="G612" s="93" t="s">
        <v>54</v>
      </c>
      <c r="H612" s="80" t="s">
        <v>186</v>
      </c>
      <c r="I612" s="10" t="s">
        <v>54</v>
      </c>
      <c r="J612" s="12" t="s">
        <v>187</v>
      </c>
      <c r="K612" s="12" t="s">
        <v>55</v>
      </c>
      <c r="L612" s="12" t="s">
        <v>189</v>
      </c>
      <c r="M612" s="10" t="s">
        <v>54</v>
      </c>
      <c r="N612" s="80" t="s">
        <v>188</v>
      </c>
      <c r="O612" s="9"/>
      <c r="P612" s="9"/>
      <c r="Q612" s="7"/>
      <c r="R612" s="1"/>
    </row>
    <row r="613" spans="1:18" ht="34">
      <c r="A613" s="1"/>
      <c r="B613" s="6"/>
      <c r="C613" s="11">
        <f>SUBTOTAL(103,$D$4:D613)</f>
        <v>610</v>
      </c>
      <c r="D613" s="9" t="s">
        <v>1417</v>
      </c>
      <c r="E613" s="12" t="s">
        <v>1949</v>
      </c>
      <c r="F613" s="10" t="s">
        <v>12</v>
      </c>
      <c r="G613" s="88" t="s">
        <v>55</v>
      </c>
      <c r="H613" s="80" t="s">
        <v>1950</v>
      </c>
      <c r="I613" s="12" t="s">
        <v>55</v>
      </c>
      <c r="J613" s="12" t="s">
        <v>1951</v>
      </c>
      <c r="K613" s="12" t="s">
        <v>55</v>
      </c>
      <c r="L613" s="81" t="s">
        <v>1952</v>
      </c>
      <c r="M613" s="12" t="s">
        <v>55</v>
      </c>
      <c r="N613" s="81" t="s">
        <v>1953</v>
      </c>
      <c r="O613" s="9"/>
      <c r="P613" s="104" t="s">
        <v>2437</v>
      </c>
      <c r="Q613" s="7"/>
      <c r="R613" s="1"/>
    </row>
    <row r="614" spans="1:18" ht="51">
      <c r="A614" s="1"/>
      <c r="B614" s="6"/>
      <c r="C614" s="11">
        <f>SUBTOTAL(103,$D$4:D614)</f>
        <v>611</v>
      </c>
      <c r="D614" s="9" t="s">
        <v>1417</v>
      </c>
      <c r="E614" s="12" t="s">
        <v>2017</v>
      </c>
      <c r="F614" s="10" t="s">
        <v>12</v>
      </c>
      <c r="G614" s="94" t="s">
        <v>55</v>
      </c>
      <c r="H614" s="80" t="s">
        <v>2018</v>
      </c>
      <c r="I614" s="94" t="s">
        <v>55</v>
      </c>
      <c r="J614" s="12" t="s">
        <v>2019</v>
      </c>
      <c r="K614" s="94" t="s">
        <v>55</v>
      </c>
      <c r="L614" s="81" t="s">
        <v>2020</v>
      </c>
      <c r="M614" s="94" t="s">
        <v>55</v>
      </c>
      <c r="N614" s="81" t="s">
        <v>2021</v>
      </c>
      <c r="O614" s="9"/>
      <c r="P614" s="104" t="s">
        <v>2437</v>
      </c>
      <c r="Q614" s="7"/>
      <c r="R614" s="1"/>
    </row>
    <row r="615" spans="1:18" ht="34">
      <c r="A615" s="1"/>
      <c r="B615" s="6"/>
      <c r="C615" s="11">
        <f>SUBTOTAL(103,$D$4:D615)</f>
        <v>612</v>
      </c>
      <c r="D615" s="9" t="s">
        <v>1417</v>
      </c>
      <c r="E615" s="12" t="s">
        <v>2038</v>
      </c>
      <c r="F615" s="10" t="s">
        <v>22</v>
      </c>
      <c r="G615" s="10" t="s">
        <v>54</v>
      </c>
      <c r="H615" s="80" t="s">
        <v>2039</v>
      </c>
      <c r="I615" s="12" t="s">
        <v>55</v>
      </c>
      <c r="J615" s="12" t="s">
        <v>2040</v>
      </c>
      <c r="K615" s="10" t="s">
        <v>54</v>
      </c>
      <c r="L615" s="81" t="s">
        <v>2041</v>
      </c>
      <c r="M615" s="10" t="s">
        <v>54</v>
      </c>
      <c r="N615" s="81" t="s">
        <v>2042</v>
      </c>
      <c r="O615" s="9" t="s">
        <v>2244</v>
      </c>
      <c r="P615" s="104" t="s">
        <v>2437</v>
      </c>
      <c r="Q615" s="7"/>
      <c r="R615" s="1"/>
    </row>
    <row r="616" spans="1:18" ht="68">
      <c r="A616" s="1"/>
      <c r="B616" s="6"/>
      <c r="C616" s="11">
        <f>SUBTOTAL(103,$D$4:D616)</f>
        <v>613</v>
      </c>
      <c r="D616" s="9" t="s">
        <v>1417</v>
      </c>
      <c r="E616" s="12" t="s">
        <v>2048</v>
      </c>
      <c r="F616" s="10" t="s">
        <v>22</v>
      </c>
      <c r="G616" s="10" t="s">
        <v>54</v>
      </c>
      <c r="H616" s="80" t="s">
        <v>2049</v>
      </c>
      <c r="I616" s="10" t="s">
        <v>54</v>
      </c>
      <c r="J616" s="12" t="s">
        <v>2050</v>
      </c>
      <c r="K616" s="10" t="s">
        <v>54</v>
      </c>
      <c r="L616" s="81" t="s">
        <v>2051</v>
      </c>
      <c r="M616" s="12" t="s">
        <v>55</v>
      </c>
      <c r="N616" s="81" t="s">
        <v>2052</v>
      </c>
      <c r="O616" s="9"/>
      <c r="P616" s="104" t="s">
        <v>2437</v>
      </c>
      <c r="Q616" s="7"/>
      <c r="R616" s="1"/>
    </row>
    <row r="617" spans="1:18" ht="68">
      <c r="A617" s="1"/>
      <c r="B617" s="6"/>
      <c r="C617" s="11">
        <f>SUBTOTAL(103,$D$4:D617)</f>
        <v>614</v>
      </c>
      <c r="D617" s="9" t="s">
        <v>1417</v>
      </c>
      <c r="E617" s="12" t="s">
        <v>2293</v>
      </c>
      <c r="F617" s="10" t="s">
        <v>8</v>
      </c>
      <c r="G617" s="12" t="s">
        <v>55</v>
      </c>
      <c r="H617" s="80" t="s">
        <v>10</v>
      </c>
      <c r="I617" s="93" t="s">
        <v>54</v>
      </c>
      <c r="J617" s="12" t="s">
        <v>9</v>
      </c>
      <c r="K617" s="93" t="s">
        <v>54</v>
      </c>
      <c r="L617" s="81" t="s">
        <v>177</v>
      </c>
      <c r="M617" s="10" t="s">
        <v>54</v>
      </c>
      <c r="N617" s="81" t="s">
        <v>177</v>
      </c>
      <c r="O617" s="9"/>
      <c r="P617" s="9"/>
      <c r="Q617" s="7"/>
      <c r="R617" s="1"/>
    </row>
    <row r="618" spans="1:18" ht="19" thickBot="1">
      <c r="A618" s="35"/>
      <c r="B618" s="51"/>
      <c r="C618" s="52"/>
      <c r="D618" s="52"/>
      <c r="E618" s="67"/>
      <c r="F618" s="53"/>
      <c r="G618" s="53"/>
      <c r="H618" s="87"/>
      <c r="I618" s="53"/>
      <c r="J618" s="87"/>
      <c r="K618" s="53"/>
      <c r="L618" s="87"/>
      <c r="M618" s="53"/>
      <c r="N618" s="87"/>
      <c r="O618" s="53"/>
      <c r="P618" s="53"/>
      <c r="Q618" s="54"/>
      <c r="R618" s="1"/>
    </row>
    <row r="619" spans="1:18">
      <c r="A619" s="1"/>
      <c r="B619" s="32"/>
      <c r="C619" s="32"/>
      <c r="D619" s="32"/>
      <c r="E619" s="68"/>
      <c r="F619" s="32"/>
      <c r="G619" s="32"/>
      <c r="H619" s="68"/>
      <c r="I619" s="32"/>
      <c r="J619" s="68"/>
      <c r="K619" s="32"/>
      <c r="L619" s="68"/>
      <c r="M619" s="32"/>
      <c r="N619" s="68"/>
      <c r="O619" s="32"/>
      <c r="P619" s="32"/>
      <c r="Q619" s="32"/>
      <c r="R619" s="1"/>
    </row>
  </sheetData>
  <phoneticPr fontId="5" type="noConversion"/>
  <conditionalFormatting sqref="E3">
    <cfRule type="duplicateValues" dxfId="17" priority="7"/>
  </conditionalFormatting>
  <conditionalFormatting sqref="C3:C617">
    <cfRule type="duplicateValues" dxfId="16" priority="14"/>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Intro</vt:lpstr>
      <vt:lpstr>Study Guide</vt:lpstr>
      <vt:lpstr>Cheat Sheet</vt:lpstr>
      <vt:lpstr>Cheat Sheet II</vt:lpstr>
      <vt:lpstr>Quiz</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ru68xev</dc:creator>
  <cp:lastModifiedBy>Microsoft Office User</cp:lastModifiedBy>
  <dcterms:created xsi:type="dcterms:W3CDTF">2021-03-14T14:59:46Z</dcterms:created>
  <dcterms:modified xsi:type="dcterms:W3CDTF">2022-12-24T11:24:03Z</dcterms:modified>
</cp:coreProperties>
</file>